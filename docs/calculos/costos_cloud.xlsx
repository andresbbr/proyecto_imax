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2"/>
    <sheet name="Supuestos" sheetId="2" state="visible" r:id="rId3"/>
    <sheet name="AWS" sheetId="3" state="visible" r:id="rId4"/>
    <sheet name="Azure" sheetId="4" state="visible" r:id="rId5"/>
    <sheet name="Fuent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<sst xmlns="http://schemas.openxmlformats.org/spreadsheetml/2006/main" count="713" uniqueCount="393">
  <si>
    <t xml:space="preserve">Comparativa de costos de infraestructura: AWS vs Azure</t>
  </si>
  <si>
    <t xml:space="preserve">Estimación con precios de lista públicos consultados el 22/10/2026. No sustituye a las calculadoras oficiales: verificar los datos en amarillo de la hoja Supuestos antes de citar.</t>
  </si>
  <si>
    <t xml:space="preserve">Concepto (USD por mes)</t>
  </si>
  <si>
    <t xml:space="preserve">AWS On-Demand</t>
  </si>
  <si>
    <t xml:space="preserve">AWS Reserva 1 año</t>
  </si>
  <si>
    <t xml:space="preserve">Azure On-Demand</t>
  </si>
  <si>
    <t xml:space="preserve">Azure Reserva 1 año</t>
  </si>
  <si>
    <t xml:space="preserve">Base de datos</t>
  </si>
  <si>
    <t xml:space="preserve">Cómputo de la aplicación</t>
  </si>
  <si>
    <t xml:space="preserve">Logs de auditoría a 5 años</t>
  </si>
  <si>
    <t xml:space="preserve">Borde, balanceo y WAF</t>
  </si>
  <si>
    <t xml:space="preserve">TOTAL MENSUAL BASE (sin DR ni caché)</t>
  </si>
  <si>
    <t xml:space="preserve">Réplica de DR entre regiones (opcional)</t>
  </si>
  <si>
    <t xml:space="preserve">TOTAL MENSUAL BASE + DR (comparable entre nubes)</t>
  </si>
  <si>
    <t xml:space="preserve">Caché de lectura (informativo; Azure pendiente)</t>
  </si>
  <si>
    <t xml:space="preserve">Pendiente</t>
  </si>
  <si>
    <t xml:space="preserve">Proyección a 3 años (OPEX sobre el total base + DR)</t>
  </si>
  <si>
    <t xml:space="preserve">OPEX año 1 (12 meses)</t>
  </si>
  <si>
    <t xml:space="preserve">OPEX año 2 (con crecimiento)</t>
  </si>
  <si>
    <t xml:space="preserve">OPEX año 3 (con crecimiento)</t>
  </si>
  <si>
    <t xml:space="preserve">OPEX acumulado a 3 años</t>
  </si>
  <si>
    <t xml:space="preserve">CAPEX inicial (ejemplo del enunciado)</t>
  </si>
  <si>
    <t xml:space="preserve">COSTO TOTAL ACUMULADO A 3 AÑOS</t>
  </si>
  <si>
    <t xml:space="preserve">Costo unitario (sobre el total mensual base + DR)</t>
  </si>
  <si>
    <t xml:space="preserve">USD por millón de solicitudes</t>
  </si>
  <si>
    <t xml:space="preserve">USD por millón de boletos</t>
  </si>
  <si>
    <t xml:space="preserve">USD por boleto</t>
  </si>
  <si>
    <t xml:space="preserve">Observaciones</t>
  </si>
  <si>
    <t xml:space="preserve">1. La reserva de 1 año se aplica a la BD y a los nodos base; nodos de pico, logs y borde quedan a precio de lista.</t>
  </si>
  <si>
    <t xml:space="preserve">2. AWS usa Graviton (r6g) en la BD. Azure no ofrece equivalente ARM en memoria optimizada. En x86, db.r6i.8xlarge y E32ds_v5 cuestan lo mismo en on-demand ($2,920 al mes, single-AZ).</t>
  </si>
  <si>
    <t xml:space="preserve">3. El Standard Load Balancer de Azure (capa 4) no equivale al ALB de AWS (capa 7). En Azure, Front Door Premium cubre la capa 7 y el WAF.</t>
  </si>
  <si>
    <t xml:space="preserve">4. Pendiente en Azure: precio del caché de lectura e IOPS adicionales. Los precios de almacenamiento y backup de Azure son provisionales (iguales a los de AWS).</t>
  </si>
  <si>
    <t xml:space="preserve">5. Las celdas en amarillo (Supuesto, Pendiente, Terceros*) deben verificarse en las calculadoras oficiales antes de citarlas en el documento.</t>
  </si>
  <si>
    <t xml:space="preserve">6. Con reserva de 3 años el costo baja más; no se calculó aquí.</t>
  </si>
  <si>
    <t xml:space="preserve">Supuestos y precios unitarios</t>
  </si>
  <si>
    <t xml:space="preserve">Azul = dato ingresado. Negro = fórmula. Fondo amarillo = dato a verificar en la calculadora oficial (Supuesto, Pendiente o Terceros*).</t>
  </si>
  <si>
    <t xml:space="preserve">Confianza: Oficial = página del proveedor; Terceros = agregador o blog que cita precios de lista; Terceros* = fuente débil o antigua; Derivado = calculado de otro precio; Supuesto = valor propio sin fuente.</t>
  </si>
  <si>
    <t xml:space="preserve">Concepto</t>
  </si>
  <si>
    <t xml:space="preserve">Valor</t>
  </si>
  <si>
    <t xml:space="preserve">Unidad</t>
  </si>
  <si>
    <t xml:space="preserve">Confianza</t>
  </si>
  <si>
    <t xml:space="preserve">Fuente o nota</t>
  </si>
  <si>
    <t xml:space="preserve">1. Volúmenes y supuestos de dimensionamiento (provisionales: ajustar con la Etapa 1)</t>
  </si>
  <si>
    <t xml:space="preserve">Horas por mes</t>
  </si>
  <si>
    <t xml:space="preserve">h/mes</t>
  </si>
  <si>
    <t xml:space="preserve">Convención</t>
  </si>
  <si>
    <t xml:space="preserve">Convención de las calculadoras de AWS y Azure (8,760 h dividido entre 12).</t>
  </si>
  <si>
    <t xml:space="preserve">GB por TB</t>
  </si>
  <si>
    <t xml:space="preserve">GB</t>
  </si>
  <si>
    <t xml:space="preserve">Se usa 1 TB = 1,024 GB en los tramos de precio.</t>
  </si>
  <si>
    <t xml:space="preserve">Solicitudes mensuales al borde (CDN y WAF)</t>
  </si>
  <si>
    <t xml:space="preserve">millones/mes</t>
  </si>
  <si>
    <t xml:space="preserve">Supuesto</t>
  </si>
  <si>
    <t xml:space="preserve">Configuración de prueba entregada al usuario. Reemplazar con el desglose de 50,000 TPS de la Etapa 1.</t>
  </si>
  <si>
    <t xml:space="preserve">Salida de datos a clientes</t>
  </si>
  <si>
    <t xml:space="preserve">TB/mes</t>
  </si>
  <si>
    <t xml:space="preserve">Configuración de prueba. Ajustar con el tamaño medio de respuesta de la Etapa 1.</t>
  </si>
  <si>
    <t xml:space="preserve">Tráfico del borde hacia el origen</t>
  </si>
  <si>
    <t xml:space="preserve">Supuesto propio (fallos de caché y peticiones POST).</t>
  </si>
  <si>
    <t xml:space="preserve">Boletos vendidos por mes</t>
  </si>
  <si>
    <t xml:space="preserve">Enunciado</t>
  </si>
  <si>
    <t xml:space="preserve">Dato del enunciado del Proyecto 2.</t>
  </si>
  <si>
    <t xml:space="preserve">Almacenamiento de la BD (primaria y cada réplica)</t>
  </si>
  <si>
    <t xml:space="preserve">Datos vivos más particiones recientes de bitácoras. Ajustar con la tabla de almacenamiento de la Etapa 1.</t>
  </si>
  <si>
    <t xml:space="preserve">Réplicas de lectura</t>
  </si>
  <si>
    <t xml:space="preserve">unidades</t>
  </si>
  <si>
    <t xml:space="preserve">Configuración de prueba.</t>
  </si>
  <si>
    <t xml:space="preserve">Backup facturable (por encima del 100% gratuito del tamaño de la BD)</t>
  </si>
  <si>
    <t xml:space="preserve">Ambas nubes incluyen backup gratis hasta el 100% del almacenamiento aprovisionado (usage.ai, nops.io).</t>
  </si>
  <si>
    <t xml:space="preserve">IOPS adicionales provisionadas en AWS</t>
  </si>
  <si>
    <t xml:space="preserve">IOPS</t>
  </si>
  <si>
    <t xml:space="preserve">Objetivo de 12,000 menos 3,000 de base gp3. Podría ser 0 si el volumen de 1 TB ya incluye más IOPS base: verificar.</t>
  </si>
  <si>
    <t xml:space="preserve">Nodos Kubernetes base (24/7)</t>
  </si>
  <si>
    <t xml:space="preserve">Nodos Kubernetes adicionales en pico</t>
  </si>
  <si>
    <t xml:space="preserve">Horas de pico por mes</t>
  </si>
  <si>
    <t xml:space="preserve">Estrenos y fines de semana (configuración de prueba).</t>
  </si>
  <si>
    <t xml:space="preserve">LCU promedio del Application Load Balancer</t>
  </si>
  <si>
    <t xml:space="preserve">LCU</t>
  </si>
  <si>
    <t xml:space="preserve">Supuesto propio; depende de las conexiones y el tráfico que llega al origen.</t>
  </si>
  <si>
    <t xml:space="preserve">Reglas en el Web ACL de AWS WAF</t>
  </si>
  <si>
    <t xml:space="preserve">Nodos de caché</t>
  </si>
  <si>
    <t xml:space="preserve">Logs en capa caliente</t>
  </si>
  <si>
    <t xml:space="preserve">Aproximadamente los últimos 3 meses.</t>
  </si>
  <si>
    <t xml:space="preserve">Logs en capa de archivo (promedio de los 3 años)</t>
  </si>
  <si>
    <t xml:space="preserve">Promedio provisional. Reemplazar con la tabla de almacenamiento acumulado de la Etapa 1.</t>
  </si>
  <si>
    <t xml:space="preserve">Solicitudes de escritura al almacenamiento de logs</t>
  </si>
  <si>
    <t xml:space="preserve">Objetos movidos a archivo por mes</t>
  </si>
  <si>
    <t xml:space="preserve">Supuesto propio (política de ciclo de vida).</t>
  </si>
  <si>
    <t xml:space="preserve">Datos recuperados del archivo para auditoría</t>
  </si>
  <si>
    <t xml:space="preserve">GB/mes</t>
  </si>
  <si>
    <t xml:space="preserve">Datos procesados por Azure Load Balancer</t>
  </si>
  <si>
    <t xml:space="preserve">Supuesto propio (tráfico que llega al origen).</t>
  </si>
  <si>
    <t xml:space="preserve">Crecimiento anual de volumen</t>
  </si>
  <si>
    <t xml:space="preserve">%</t>
  </si>
  <si>
    <t xml:space="preserve">El ejemplo del enunciado usa 10% anual.</t>
  </si>
  <si>
    <t xml:space="preserve">CAPEX inicial</t>
  </si>
  <si>
    <t xml:space="preserve">USD</t>
  </si>
  <si>
    <t xml:space="preserve">Ejemplo del enunciado ($15,000). Reemplazar con el CAPEX propio.</t>
  </si>
  <si>
    <t xml:space="preserve">2. Precios unitarios de AWS (us-east-1, USD, consultados el 22/10/2026)</t>
  </si>
  <si>
    <t xml:space="preserve">RDS PostgreSQL db.r6g.8xlarge, single-AZ, on-demand</t>
  </si>
  <si>
    <t xml:space="preserve">USD/mes</t>
  </si>
  <si>
    <t xml:space="preserve">Terceros</t>
  </si>
  <si>
    <t xml:space="preserve">bytebase.com/dbcost (derivado de la lista de precios de AWS). El precio de db.r6g.16xlarge ($5,252) es exactamente el doble, lo que confirma que es single-AZ.</t>
  </si>
  <si>
    <t xml:space="preserve">RDS PostgreSQL db.r6g.8xlarge, single-AZ, reserva 1 año</t>
  </si>
  <si>
    <t xml:space="preserve">Terceros*</t>
  </si>
  <si>
    <t xml:space="preserve">Tarifa efectiva mensual según el agregador; el descuento (46%) sugiere pago total adelantado. Sin pago inicial sería mayor.</t>
  </si>
  <si>
    <t xml:space="preserve">db.r6g.4xlarge, single-AZ, on-demand</t>
  </si>
  <si>
    <t xml:space="preserve">Derivado</t>
  </si>
  <si>
    <t xml:space="preserve">Mitad del 8xlarge (los precios escalan de forma lineal dentro de la familia).</t>
  </si>
  <si>
    <t xml:space="preserve">db.r6g.4xlarge, single-AZ, reserva 1 año</t>
  </si>
  <si>
    <t xml:space="preserve">Mitad del 8xlarge.</t>
  </si>
  <si>
    <t xml:space="preserve">Factor Multi-AZ (instancia y almacenamiento)</t>
  </si>
  <si>
    <t xml:space="preserve">x</t>
  </si>
  <si>
    <t xml:space="preserve">usage.ai, swyftstack.com y bytebase.com coinciden: Multi-AZ duplica instancia y almacenamiento.</t>
  </si>
  <si>
    <t xml:space="preserve">Almacenamiento gp3 (single-AZ)</t>
  </si>
  <si>
    <t xml:space="preserve">USD/GB-mes</t>
  </si>
  <si>
    <t xml:space="preserve">usage.ai (jun 2026), swyftstack.com y bytebase.com. Una fuente antigua (rapydo.io) cita $0.08; se descartó.</t>
  </si>
  <si>
    <t xml:space="preserve">IOPS provisionadas sobre la base</t>
  </si>
  <si>
    <t xml:space="preserve">USD/IOPS-mes</t>
  </si>
  <si>
    <t xml:space="preserve">usage.ai.</t>
  </si>
  <si>
    <t xml:space="preserve">Backup sobre el 100% gratuito</t>
  </si>
  <si>
    <t xml:space="preserve">usage.ai, tigerdata.com y bytebase.com.</t>
  </si>
  <si>
    <t xml:space="preserve">EC2 m6i.4xlarge on-demand (Linux)</t>
  </si>
  <si>
    <t xml:space="preserve">USD/h</t>
  </si>
  <si>
    <t xml:space="preserve">calculator.holori.com y devzero.io.</t>
  </si>
  <si>
    <t xml:space="preserve">EC2 m6i.4xlarge reserva 1 año sin pago inicial</t>
  </si>
  <si>
    <t xml:space="preserve">devzero.io (Reserved 1Y).</t>
  </si>
  <si>
    <t xml:space="preserve">Amazon EKS, plano de control</t>
  </si>
  <si>
    <t xml:space="preserve">Oficial</t>
  </si>
  <si>
    <t xml:space="preserve">Blog oficial de AWS sobre precios de EKS.</t>
  </si>
  <si>
    <t xml:space="preserve">S3 Standard (primeros 50 TB)</t>
  </si>
  <si>
    <t xml:space="preserve">devzero.io (cita la AWS Price List Bulk API).</t>
  </si>
  <si>
    <t xml:space="preserve">S3 Glacier Flexible Retrieval</t>
  </si>
  <si>
    <t xml:space="preserve">devzero.io y cloudchipr.com.</t>
  </si>
  <si>
    <t xml:space="preserve">S3 Standard, solicitudes PUT</t>
  </si>
  <si>
    <t xml:space="preserve">USD/1,000</t>
  </si>
  <si>
    <t xml:space="preserve">upstash.com.</t>
  </si>
  <si>
    <t xml:space="preserve">Transición de ciclo de vida a Glacier Flexible</t>
  </si>
  <si>
    <t xml:space="preserve">upstash.com; la columna se infirió de la tabla. Verificar.</t>
  </si>
  <si>
    <t xml:space="preserve">Recuperación estándar desde Glacier Flexible</t>
  </si>
  <si>
    <t xml:space="preserve">USD/GB</t>
  </si>
  <si>
    <t xml:space="preserve">CloudFront, salida a internet, primeros 10 TB</t>
  </si>
  <si>
    <t xml:space="preserve">perfsys.com y egresscost.com. No se descuenta el 1 TB gratuito (se asume una cuenta empresarial que ya consume la capa gratuita).</t>
  </si>
  <si>
    <t xml:space="preserve">CloudFront, salida a internet, siguientes 40 TB</t>
  </si>
  <si>
    <t xml:space="preserve">egresscost.com.</t>
  </si>
  <si>
    <t xml:space="preserve">Tramo 1 de CloudFront</t>
  </si>
  <si>
    <t xml:space="preserve">TB</t>
  </si>
  <si>
    <t xml:space="preserve">CloudFront, solicitudes HTTPS (EE. UU. y Europa)</t>
  </si>
  <si>
    <t xml:space="preserve">USD/10,000</t>
  </si>
  <si>
    <t xml:space="preserve">perfsys.com.</t>
  </si>
  <si>
    <t xml:space="preserve">CloudFront, tráfico hacia el origen</t>
  </si>
  <si>
    <t xml:space="preserve">perfsys.com y dev.to.</t>
  </si>
  <si>
    <t xml:space="preserve">AWS WAF, por Web ACL</t>
  </si>
  <si>
    <t xml:space="preserve">Página de precios de AWS WAF (aws.amazon.com/waf/pricing).</t>
  </si>
  <si>
    <t xml:space="preserve">AWS WAF, por regla</t>
  </si>
  <si>
    <t xml:space="preserve">dev.to y un ticket de Jira que cita la página de AWS.</t>
  </si>
  <si>
    <t xml:space="preserve">AWS WAF, por millón de solicitudes</t>
  </si>
  <si>
    <t xml:space="preserve">USD/millón</t>
  </si>
  <si>
    <t xml:space="preserve">Guía de AWS Security Services Best Practices (aws.github.io).</t>
  </si>
  <si>
    <t xml:space="preserve">Application Load Balancer, por hora</t>
  </si>
  <si>
    <t xml:space="preserve">dev.to (resumen de precios de AWS).</t>
  </si>
  <si>
    <t xml:space="preserve">Application Load Balancer, por LCU-hora</t>
  </si>
  <si>
    <t xml:space="preserve">USD/LCU-h</t>
  </si>
  <si>
    <t xml:space="preserve">dev.to.</t>
  </si>
  <si>
    <t xml:space="preserve">ElastiCache cache.r6g.2xlarge on-demand</t>
  </si>
  <si>
    <t xml:space="preserve">calculator.holori.com.</t>
  </si>
  <si>
    <t xml:space="preserve">ElastiCache cache.r6g.xlarge on-demand</t>
  </si>
  <si>
    <t xml:space="preserve">Mitad del 2xlarge.</t>
  </si>
  <si>
    <t xml:space="preserve">Descuento de reserva 1 año en ElastiCache</t>
  </si>
  <si>
    <t xml:space="preserve">calculator.holori.com (Reserved 1yr sin pago inicial).</t>
  </si>
  <si>
    <t xml:space="preserve">3. Precios unitarios de Azure (East US, USD, consultados el 22/10/2026)</t>
  </si>
  <si>
    <t xml:space="preserve">PostgreSQL Flexible Server E32ds_v5 (solo cómputo), on-demand</t>
  </si>
  <si>
    <t xml:space="preserve">bytebase.com/dbcost (actualizado jul 2026). Almacenamiento, HA y backups se cobran aparte.</t>
  </si>
  <si>
    <t xml:space="preserve">PostgreSQL Flexible Server E32ds_v5, reserva 1 año</t>
  </si>
  <si>
    <t xml:space="preserve">bytebase.com/dbcost.</t>
  </si>
  <si>
    <t xml:space="preserve">PostgreSQL Flexible Server E16ds_v5, on-demand</t>
  </si>
  <si>
    <t xml:space="preserve">Mitad del E32ds_v5 (la serie Edsv5 se cobra por vCore).</t>
  </si>
  <si>
    <t xml:space="preserve">PostgreSQL Flexible Server E16ds_v5, reserva 1 año</t>
  </si>
  <si>
    <t xml:space="preserve">Mitad del E32ds_v5.</t>
  </si>
  <si>
    <t xml:space="preserve">Factor de alta disponibilidad zona-redundante (cómputo)</t>
  </si>
  <si>
    <t xml:space="preserve">bytebase.com y nops.io: la HA duplica aproximadamente el cómputo.</t>
  </si>
  <si>
    <t xml:space="preserve">Almacenamiento Premium SSD de PostgreSQL Flexible Server</t>
  </si>
  <si>
    <t xml:space="preserve">NO se encontró el precio. Valor provisional igual al de RDS gp3. Verificar en la calculadora de Azure.</t>
  </si>
  <si>
    <t xml:space="preserve">NO se encontró el precio. Valor provisional igual al de RDS. Verificar.</t>
  </si>
  <si>
    <t xml:space="preserve">VM Standard_D16s_v5 on-demand (Linux)</t>
  </si>
  <si>
    <t xml:space="preserve">calculator.holori.com y cloudoptimo.com.</t>
  </si>
  <si>
    <t xml:space="preserve">VM Standard_D16s_v5, reserva 1 año</t>
  </si>
  <si>
    <t xml:space="preserve">devzero.io; la tabla de esa página tiene filas inconsistentes en otras regiones. Verificar.</t>
  </si>
  <si>
    <t xml:space="preserve">AKS, nivel Standard (plano de control con SLA)</t>
  </si>
  <si>
    <t xml:space="preserve">No se encontró en esta consulta. Valor de conocimiento previo; verificar.</t>
  </si>
  <si>
    <t xml:space="preserve">Blob Storage Hot LRS</t>
  </si>
  <si>
    <t xml:space="preserve">lucidity.cloud (cita la Azure Retail Prices API, jun 2026, East US). Otra fuente cita $0.0287; se descartó por antigua.</t>
  </si>
  <si>
    <t xml:space="preserve">Blob Storage Archive LRS</t>
  </si>
  <si>
    <t xml:space="preserve">Microsoft Learn Q&amp;A.</t>
  </si>
  <si>
    <t xml:space="preserve">Blob Hot, operaciones de escritura</t>
  </si>
  <si>
    <t xml:space="preserve">cloudtweaks.com (Central US, 2023). Verificar para East US.</t>
  </si>
  <si>
    <t xml:space="preserve">Blob Archive, operaciones de escritura</t>
  </si>
  <si>
    <t xml:space="preserve">cloudtweaks.com (2023). Verificar.</t>
  </si>
  <si>
    <t xml:space="preserve">Blob Archive, recuperación de datos</t>
  </si>
  <si>
    <t xml:space="preserve">Microsoft Learn Q&amp;A (antiguo). No incluye operaciones de lectura por rehidratación. Verificar.</t>
  </si>
  <si>
    <t xml:space="preserve">Front Door Premium, cuota base</t>
  </si>
  <si>
    <t xml:space="preserve">Microsoft Learn (Understanding Front Door pricing).</t>
  </si>
  <si>
    <t xml:space="preserve">Front Door Premium, solicitudes (primeras 250 millones, zona 1)</t>
  </si>
  <si>
    <t xml:space="preserve">fitgap.com y cdnsun.com. Se aplica a todo el volumen: supuesto conservador.</t>
  </si>
  <si>
    <t xml:space="preserve">Front Door, salida zona 1, primeros 10 TB</t>
  </si>
  <si>
    <t xml:space="preserve">fitgap.com y blazingcdn.com.</t>
  </si>
  <si>
    <t xml:space="preserve">Front Door, salida zona 1, siguientes 40 TB</t>
  </si>
  <si>
    <t xml:space="preserve">fitgap.com.</t>
  </si>
  <si>
    <t xml:space="preserve">Tramo 1 de Front Door</t>
  </si>
  <si>
    <t xml:space="preserve">Front Door, borde hacia el origen (zona 1)</t>
  </si>
  <si>
    <t xml:space="preserve">Standard Load Balancer, primeras 5 reglas</t>
  </si>
  <si>
    <t xml:space="preserve">msandbu.org (artículo de 2018). Verificar.</t>
  </si>
  <si>
    <t xml:space="preserve">Standard Load Balancer, datos procesados</t>
  </si>
  <si>
    <t xml:space="preserve">msandbu.org (2018). Verificar.</t>
  </si>
  <si>
    <t xml:space="preserve">Estimado mensual en AWS (us-east-1)</t>
  </si>
  <si>
    <t xml:space="preserve">Precios de lista, USD por mes, consultados el 22/10/2026. Configuración y volúmenes en la hoja Supuestos.</t>
  </si>
  <si>
    <t xml:space="preserve">Componente</t>
  </si>
  <si>
    <t xml:space="preserve">Cálculo</t>
  </si>
  <si>
    <t xml:space="preserve">Mensual On-Demand (USD)</t>
  </si>
  <si>
    <t xml:space="preserve">Mensual Reserva 1 año (USD)</t>
  </si>
  <si>
    <t xml:space="preserve">Nota</t>
  </si>
  <si>
    <t xml:space="preserve">Base de datos (Amazon RDS for PostgreSQL)</t>
  </si>
  <si>
    <t xml:space="preserve">RDS primaria Multi-AZ (db.r6g.8xlarge)</t>
  </si>
  <si>
    <t xml:space="preserve">Precio single-AZ x factor Multi-AZ</t>
  </si>
  <si>
    <t xml:space="preserve">Graviton (ARM). Con x86 (db.r6i.8xlarge) el on-demand single-AZ es $2,920, igual que Azure E32ds_v5.</t>
  </si>
  <si>
    <t xml:space="preserve">Réplicas de lectura (db.r6g.4xlarge)</t>
  </si>
  <si>
    <t xml:space="preserve">N réplicas x precio single-AZ</t>
  </si>
  <si>
    <t xml:space="preserve">Las réplicas de lectura son single-AZ por defecto.</t>
  </si>
  <si>
    <t xml:space="preserve">Almacenamiento gp3 de la primaria (Multi-AZ)</t>
  </si>
  <si>
    <t xml:space="preserve">GB x USD/GB x factor Multi-AZ</t>
  </si>
  <si>
    <t xml:space="preserve">Almacenamiento gp3 de las réplicas</t>
  </si>
  <si>
    <t xml:space="preserve">N réplicas x GB x USD/GB</t>
  </si>
  <si>
    <t xml:space="preserve">IOPS adicionales (primaria Multi-AZ)</t>
  </si>
  <si>
    <t xml:space="preserve">IOPS x USD/IOPS x factor Multi-AZ</t>
  </si>
  <si>
    <t xml:space="preserve">Podría ser 0 si el volumen de 1 TB ya incluye 12,000 IOPS de base. Verificar.</t>
  </si>
  <si>
    <t xml:space="preserve">Backups sobre el 100% gratuito</t>
  </si>
  <si>
    <t xml:space="preserve">GB facturables x USD/GB</t>
  </si>
  <si>
    <t xml:space="preserve">Retención de 35 días.</t>
  </si>
  <si>
    <t xml:space="preserve">Subtotal base de datos</t>
  </si>
  <si>
    <t xml:space="preserve">Cómputo de la aplicación (Amazon EKS)</t>
  </si>
  <si>
    <t xml:space="preserve">EKS, plano de control</t>
  </si>
  <si>
    <t xml:space="preserve">USD/h x horas del mes</t>
  </si>
  <si>
    <t xml:space="preserve">Nodos base m6i.4xlarge 24/7</t>
  </si>
  <si>
    <t xml:space="preserve">Nodos x horas x USD/h</t>
  </si>
  <si>
    <t xml:space="preserve">La reserva aplica solo a los nodos base.</t>
  </si>
  <si>
    <t xml:space="preserve">Nodos de pico (on-demand)</t>
  </si>
  <si>
    <t xml:space="preserve">Nodos x horas de pico x USD/h</t>
  </si>
  <si>
    <t xml:space="preserve">Subtotal cómputo</t>
  </si>
  <si>
    <t xml:space="preserve">Logs de auditoría a 5 años (Amazon S3 y S3 Glacier)</t>
  </si>
  <si>
    <t xml:space="preserve">S3 Standard (capa caliente)</t>
  </si>
  <si>
    <t xml:space="preserve">GB x USD/GB</t>
  </si>
  <si>
    <t xml:space="preserve">S3 Glacier Flexible Retrieval (archivo)</t>
  </si>
  <si>
    <t xml:space="preserve">Solicitudes PUT a S3</t>
  </si>
  <si>
    <t xml:space="preserve">Millones x 1,000 x USD/1,000</t>
  </si>
  <si>
    <t xml:space="preserve">Transiciones de ciclo de vida a Glacier</t>
  </si>
  <si>
    <t xml:space="preserve">Recuperación de datos para auditoría</t>
  </si>
  <si>
    <t xml:space="preserve">No incluye solicitudes de restauración.</t>
  </si>
  <si>
    <t xml:space="preserve">Subtotal logs a 5 años</t>
  </si>
  <si>
    <t xml:space="preserve">CloudFront, salida a internet</t>
  </si>
  <si>
    <t xml:space="preserve">Tramo 1 + tramo 2</t>
  </si>
  <si>
    <t xml:space="preserve">CloudFront, solicitudes HTTPS</t>
  </si>
  <si>
    <t xml:space="preserve">Millones x 100 x USD/10,000</t>
  </si>
  <si>
    <t xml:space="preserve">Millones de solicitudes dividido entre 10,000 es millones x 100.</t>
  </si>
  <si>
    <t xml:space="preserve">TB x GB/TB x USD/GB</t>
  </si>
  <si>
    <t xml:space="preserve">AWS WAF</t>
  </si>
  <si>
    <t xml:space="preserve">Web ACL + reglas + solicitudes</t>
  </si>
  <si>
    <t xml:space="preserve">CloudFront no cobra las solicitudes bloqueadas por WAF, pero WAF sí las evalúa.</t>
  </si>
  <si>
    <t xml:space="preserve">Application Load Balancer</t>
  </si>
  <si>
    <t xml:space="preserve">Horas fijas + LCU promedio</t>
  </si>
  <si>
    <t xml:space="preserve">Depende del LCU promedio supuesto.</t>
  </si>
  <si>
    <t xml:space="preserve">Subtotal borde, balanceo y WAF</t>
  </si>
  <si>
    <t xml:space="preserve">Opcional: réplica de DR entre regiones (16 vCPU, us-west-2)</t>
  </si>
  <si>
    <t xml:space="preserve">Réplica entre regiones db.r6g.4xlarge</t>
  </si>
  <si>
    <t xml:space="preserve">Instancia single-AZ + almacenamiento</t>
  </si>
  <si>
    <t xml:space="preserve">No incluye transferencia de datos entre regiones. Verificar.</t>
  </si>
  <si>
    <t xml:space="preserve">Subtotal DR multi-región</t>
  </si>
  <si>
    <t xml:space="preserve">TOTAL MENSUAL BASE + DR</t>
  </si>
  <si>
    <t xml:space="preserve">Opcional: caché de lectura (Amazon ElastiCache for Redis)</t>
  </si>
  <si>
    <t xml:space="preserve">Nodos cache.r6g.xlarge</t>
  </si>
  <si>
    <t xml:space="preserve">Nodos x USD/h x horas</t>
  </si>
  <si>
    <t xml:space="preserve">Derivado del precio del 2xlarge.</t>
  </si>
  <si>
    <t xml:space="preserve">Subtotal caché (informativo)</t>
  </si>
  <si>
    <t xml:space="preserve">Estimado mensual en Azure (East US)</t>
  </si>
  <si>
    <t xml:space="preserve">Base de datos (Azure Database for PostgreSQL Flexible Server)</t>
  </si>
  <si>
    <t xml:space="preserve">Primaria E32ds_v5 con HA zona-redundante</t>
  </si>
  <si>
    <t xml:space="preserve">Precio de cómputo x factor HA</t>
  </si>
  <si>
    <t xml:space="preserve">Intel x86; no hay equivalente ARM en memoria optimizada.</t>
  </si>
  <si>
    <t xml:space="preserve">Réplicas de lectura E16ds_v5</t>
  </si>
  <si>
    <t xml:space="preserve">N réplicas x precio de cómputo</t>
  </si>
  <si>
    <t xml:space="preserve">Almacenamiento de la primaria</t>
  </si>
  <si>
    <t xml:space="preserve">Según nops.io, la HA no duplica el almacenamiento. Verificar en la calculadora.</t>
  </si>
  <si>
    <t xml:space="preserve">Almacenamiento de las réplicas</t>
  </si>
  <si>
    <t xml:space="preserve">IOPS adicionales</t>
  </si>
  <si>
    <t xml:space="preserve">No incluido</t>
  </si>
  <si>
    <t xml:space="preserve">No se encontró el precio. Verificar cuántas IOPS trae el disco de 1 TB y si se necesitan más.</t>
  </si>
  <si>
    <t xml:space="preserve">Cómputo de la aplicación (Azure Kubernetes Service)</t>
  </si>
  <si>
    <t xml:space="preserve">AKS, plano de control nivel Standard</t>
  </si>
  <si>
    <t xml:space="preserve">Valor de conocimiento previo; verificar.</t>
  </si>
  <si>
    <t xml:space="preserve">Nodos base D16s_v5 24/7</t>
  </si>
  <si>
    <t xml:space="preserve">Logs de auditoría a 5 años (Azure Blob Storage Hot y Archive)</t>
  </si>
  <si>
    <t xml:space="preserve">Blob Hot LRS (capa caliente)</t>
  </si>
  <si>
    <t xml:space="preserve">Blob Archive LRS (archivo)</t>
  </si>
  <si>
    <t xml:space="preserve">Operaciones de escritura en Hot</t>
  </si>
  <si>
    <t xml:space="preserve">Escrituras a Archive (transición)</t>
  </si>
  <si>
    <t xml:space="preserve">No incluye operaciones de lectura por rehidratación.</t>
  </si>
  <si>
    <t xml:space="preserve">Cuota fija mensual</t>
  </si>
  <si>
    <t xml:space="preserve">Front Door, solicitudes</t>
  </si>
  <si>
    <t xml:space="preserve">Se aplica la tarifa de las primeras 250 millones a todo el volumen (conservador).</t>
  </si>
  <si>
    <t xml:space="preserve">Front Door, salida zona 1</t>
  </si>
  <si>
    <t xml:space="preserve">Front Door, borde hacia el origen</t>
  </si>
  <si>
    <t xml:space="preserve">WAF (incluido en Premium)</t>
  </si>
  <si>
    <t xml:space="preserve">Sin cargo adicional</t>
  </si>
  <si>
    <t xml:space="preserve">Microsoft Learn (comparación de precios CDN y Front Door): Premium incluye reglas administradas y personalizadas.</t>
  </si>
  <si>
    <t xml:space="preserve">Standard Load Balancer</t>
  </si>
  <si>
    <t xml:space="preserve">Horas fijas + GB procesados</t>
  </si>
  <si>
    <t xml:space="preserve">Es de capa 4: no equivale a un ALB (capa 7). En Azure la capa 7 la cubre Front Door.</t>
  </si>
  <si>
    <t xml:space="preserve">Opcional: réplica de DR entre regiones (16 vCPU, West US 2)</t>
  </si>
  <si>
    <t xml:space="preserve">Réplica entre regiones E16ds_v5</t>
  </si>
  <si>
    <t xml:space="preserve">Cómputo + almacenamiento</t>
  </si>
  <si>
    <t xml:space="preserve">Opcional: caché de lectura (Azure Managed Redis o Azure Cache for Redis)</t>
  </si>
  <si>
    <t xml:space="preserve">PENDIENTE: no se encontró un precio utilizable</t>
  </si>
  <si>
    <t xml:space="preserve">Obtener de la calculadora oficial</t>
  </si>
  <si>
    <t xml:space="preserve">Elegir un tamaño equivalente a 2 nodos de unos 26 GB y agregarlo a mano.</t>
  </si>
  <si>
    <t xml:space="preserve">Nube</t>
  </si>
  <si>
    <t xml:space="preserve">Se usó para</t>
  </si>
  <si>
    <t xml:space="preserve">URL</t>
  </si>
  <si>
    <t xml:space="preserve">Tipo</t>
  </si>
  <si>
    <t xml:space="preserve">Consultado</t>
  </si>
  <si>
    <t xml:space="preserve">AWS</t>
  </si>
  <si>
    <t xml:space="preserve">Calculadora oficial (verificar aquí)</t>
  </si>
  <si>
    <t xml:space="preserve">https://calculator.aws/</t>
  </si>
  <si>
    <t xml:space="preserve">Estructura de precios RDS PostgreSQL</t>
  </si>
  <si>
    <t xml:space="preserve">https://aws.amazon.com/rds/postgresql/pricing/</t>
  </si>
  <si>
    <t xml:space="preserve">2026-10-22</t>
  </si>
  <si>
    <t xml:space="preserve">RDS db.r6g.8xlarge</t>
  </si>
  <si>
    <t xml:space="preserve">https://www.bytebase.com/dbcost/rds/instance/db.r6g.8xlarge/</t>
  </si>
  <si>
    <t xml:space="preserve">RDS db.r6g.16xlarge (verificación del factor)</t>
  </si>
  <si>
    <t xml:space="preserve">https://www.bytebase.com/dbcost/rds/instance/db.r6g.16xlarge/</t>
  </si>
  <si>
    <t xml:space="preserve">RDS db.r6i.8xlarge (variante x86)</t>
  </si>
  <si>
    <t xml:space="preserve">https://www.bytebase.com/dbcost/rds/instance/db.r6i.8xlarge/</t>
  </si>
  <si>
    <t xml:space="preserve">RDS: gp3, backup, IOPS, factor Multi-AZ</t>
  </si>
  <si>
    <t xml:space="preserve">https://www.usage.ai/blogs/aws/reserved-instances/rds/pricing-calculator/</t>
  </si>
  <si>
    <t xml:space="preserve">RDS: factor Multi-AZ y backup</t>
  </si>
  <si>
    <t xml:space="preserve">https://swyftstack.com/blog/aws-rds-pricing-explained</t>
  </si>
  <si>
    <t xml:space="preserve">EC2 m6i.4xlarge</t>
  </si>
  <si>
    <t xml:space="preserve">https://calculator.holori.com/aws/ec2/m6i.4xlarge</t>
  </si>
  <si>
    <t xml:space="preserve">EC2 m6i.4xlarge reservado</t>
  </si>
  <si>
    <t xml:space="preserve">https://www.devzero.io/instances/aws/m6i.4xlarge</t>
  </si>
  <si>
    <t xml:space="preserve">https://aws.amazon.com/blogs/containers/amazon-eks-extended-support-for-kubernetes-versions-pricing/</t>
  </si>
  <si>
    <t xml:space="preserve">S3 Standard y Glacier</t>
  </si>
  <si>
    <t xml:space="preserve">https://www.devzero.io/blog/aws-s3-pricing</t>
  </si>
  <si>
    <t xml:space="preserve">S3: solicitudes PUT y recuperación</t>
  </si>
  <si>
    <t xml:space="preserve">https://upstash.com/blog/aws-s3-pricing-explained-2026</t>
  </si>
  <si>
    <t xml:space="preserve">CloudFront: transferencia y solicitudes</t>
  </si>
  <si>
    <t xml:space="preserve">https://perfsys.com/blog/cloudfront-pricing-guide/</t>
  </si>
  <si>
    <t xml:space="preserve">CloudFront: tramos de transferencia</t>
  </si>
  <si>
    <t xml:space="preserve">https://egresscost.com/aws/cloudfront-pricing</t>
  </si>
  <si>
    <t xml:space="preserve">https://aws.amazon.com/waf/pricing</t>
  </si>
  <si>
    <t xml:space="preserve">AWS WAF: tarifa por millón de solicitudes</t>
  </si>
  <si>
    <t xml:space="preserve">https://aws.github.io/aws-security-services-best-practices/ja/guides/waf/waf-cost/docs/</t>
  </si>
  <si>
    <t xml:space="preserve">ALB y CloudFront (resumen)</t>
  </si>
  <si>
    <t xml:space="preserve">https://dev.to/eddiesegal/amazon-infrastructure-services-build-your-budget-for-the-cloud-1852</t>
  </si>
  <si>
    <t xml:space="preserve">ElastiCache cache.r6g.2xlarge</t>
  </si>
  <si>
    <t xml:space="preserve">https://calculator.holori.com/aws/elasticache/cache.r6g.2xlarge</t>
  </si>
  <si>
    <t xml:space="preserve">Azure</t>
  </si>
  <si>
    <t xml:space="preserve">https://azure.microsoft.com/pricing/calculator/</t>
  </si>
  <si>
    <t xml:space="preserve">API oficial de precios (para verificar)</t>
  </si>
  <si>
    <t xml:space="preserve">https://learn.microsoft.com/en-us/rest/api/cost-management/retail-prices/azure-retail-prices</t>
  </si>
  <si>
    <t xml:space="preserve">PostgreSQL Flexible Server E32ds_v5</t>
  </si>
  <si>
    <t xml:space="preserve">https://www.bytebase.com/dbcost/azure-flexible/instance/E32ds_v5/</t>
  </si>
  <si>
    <t xml:space="preserve">PostgreSQL Flexible Server: comparación de 32 vCPU</t>
  </si>
  <si>
    <t xml:space="preserve">https://www.bytebase.com/dbcost/azure-flexible/compare/32-vcpu/</t>
  </si>
  <si>
    <t xml:space="preserve">PostgreSQL: HA, backups, IOPS</t>
  </si>
  <si>
    <t xml:space="preserve">https://www.nops.io/blog/azure-database-postgresql-cost-optimization/</t>
  </si>
  <si>
    <t xml:space="preserve">VM Standard_D16s_v5</t>
  </si>
  <si>
    <t xml:space="preserve">https://calculator.holori.com/azure/vm/standard-d16s-v5/eastus</t>
  </si>
  <si>
    <t xml:space="preserve">VM Standard_D16s_v5 reservada</t>
  </si>
  <si>
    <t xml:space="preserve">https://www.devzero.io/instances/azure/Standard_D16s_v5</t>
  </si>
  <si>
    <t xml:space="preserve">Front Door: cuotas base</t>
  </si>
  <si>
    <t xml:space="preserve">https://learn.microsoft.com/en-us/azure/frontdoor/understanding-pricing</t>
  </si>
  <si>
    <t xml:space="preserve">Front Door: WAF incluido en Premium</t>
  </si>
  <si>
    <t xml:space="preserve">https://learn.microsoft.com/en-us/azure/frontdoor/compare-cdn-front-door-price</t>
  </si>
  <si>
    <t xml:space="preserve">Front Door: tarifas por GB y solicitudes</t>
  </si>
  <si>
    <t xml:space="preserve">https://us.fitgap.com/products/azure-front-door</t>
  </si>
  <si>
    <t xml:space="preserve">Front Door: solicitudes Premium</t>
  </si>
  <si>
    <t xml:space="preserve">https://blog.cdnsun.com/microsoft-azure-front-door-pricing/</t>
  </si>
  <si>
    <t xml:space="preserve">Blob Hot LRS</t>
  </si>
  <si>
    <t xml:space="preserve">https://lucidity.cloud/feeds/blog/azure-storage-cost</t>
  </si>
  <si>
    <t xml:space="preserve">Blob Archive y recuperación</t>
  </si>
  <si>
    <t xml:space="preserve">https://learn.microsoft.com/en-us/answers/questions/866712/billing-question-on-azure-blob-storage</t>
  </si>
  <si>
    <t xml:space="preserve">Blob: operaciones</t>
  </si>
  <si>
    <t xml:space="preserve">https://cloudtweaks.com/2023/06/understanding-azure-blob-storage-pricing/</t>
  </si>
  <si>
    <t xml:space="preserve">https://msandbu.org/azure-standard-load-balancer/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</si>
</sst>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\$#,##0.00;&quot;($&quot;#,##0.00\);\-"/>
    <numFmt numFmtId="167" formatCode="\$#,##0.0000"/>
    <numFmt numFmtId="168" formatCode="#,##0"/>
    <numFmt numFmtId="169" formatCode="0.0%"/>
    <numFmt numFmtId="170" formatCode="0.0\x"/>
    <numFmt numFmtId="171" formatCode="\$#,##0.000"/>
    <numFmt numFmtId="172" formatCode="\$0.000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2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6" t="n">
        <f aca="false">AWS!C12</f>
        <v>8563.9</v>
      </c>
      <c r="C5" s="6" t="n">
        <f aca="false">AWS!D12</f>
        <v>4933.9</v>
      </c>
      <c r="D5" s="6" t="n">
        <f aca="false">Azure!C12</f>
        <v>9028.745</v>
      </c>
      <c r="E5" s="6" t="n">
        <f aca="false">Azure!D12</f>
        <v>5524.745</v>
      </c>
    </row>
    <row r="6" customFormat="false" ht="15" hidden="false" customHeight="true" outlineLevel="0" collapsed="false">
      <c r="A6" s="5" t="s">
        <v>8</v>
      </c>
      <c r="B6" s="6" t="n">
        <f aca="false">AWS!C17</f>
        <v>2426.152</v>
      </c>
      <c r="C6" s="6" t="n">
        <f aca="false">AWS!D17</f>
        <v>1751.632</v>
      </c>
      <c r="D6" s="6" t="n">
        <f aca="false">Azure!C17</f>
        <v>2426.152</v>
      </c>
      <c r="E6" s="6" t="n">
        <f aca="false">Azure!D17</f>
        <v>1567.672</v>
      </c>
    </row>
    <row r="7" customFormat="false" ht="15" hidden="false" customHeight="true" outlineLevel="0" collapsed="false">
      <c r="A7" s="5" t="s">
        <v>9</v>
      </c>
      <c r="B7" s="6" t="n">
        <f aca="false">AWS!C24</f>
        <v>402.0826</v>
      </c>
      <c r="C7" s="6" t="n">
        <f aca="false">AWS!D24</f>
        <v>402.0826</v>
      </c>
      <c r="D7" s="6" t="n">
        <f aca="false">Azure!C24</f>
        <v>392.92014</v>
      </c>
      <c r="E7" s="6" t="n">
        <f aca="false">Azure!D24</f>
        <v>392.92014</v>
      </c>
    </row>
    <row r="8" customFormat="false" ht="15" hidden="false" customHeight="true" outlineLevel="0" collapsed="false">
      <c r="A8" s="5" t="s">
        <v>10</v>
      </c>
      <c r="B8" s="6" t="n">
        <f aca="false">AWS!C31</f>
        <v>2009.5114</v>
      </c>
      <c r="C8" s="6" t="n">
        <f aca="false">AWS!D31</f>
        <v>2009.5114</v>
      </c>
      <c r="D8" s="6" t="n">
        <f aca="false">Azure!C32</f>
        <v>1983.94672</v>
      </c>
      <c r="E8" s="6" t="n">
        <f aca="false">Azure!D32</f>
        <v>1983.94672</v>
      </c>
    </row>
    <row r="9" customFormat="false" ht="15" hidden="false" customHeight="true" outlineLevel="0" collapsed="false">
      <c r="A9" s="7" t="s">
        <v>11</v>
      </c>
      <c r="B9" s="8" t="n">
        <f aca="false">SUM(B5:B8)</f>
        <v>13401.646</v>
      </c>
      <c r="C9" s="8" t="n">
        <f aca="false">SUM(C5:C8)</f>
        <v>9097.126</v>
      </c>
      <c r="D9" s="8" t="n">
        <f aca="false">SUM(D5:D8)</f>
        <v>13831.76386</v>
      </c>
      <c r="E9" s="8" t="n">
        <f aca="false">SUM(E5:E8)</f>
        <v>9469.28386</v>
      </c>
    </row>
    <row r="10" customFormat="false" ht="15" hidden="false" customHeight="true" outlineLevel="0" collapsed="false">
      <c r="A10" s="5" t="s">
        <v>12</v>
      </c>
      <c r="B10" s="6" t="n">
        <f aca="false">AWS!C36</f>
        <v>1370.155</v>
      </c>
      <c r="C10" s="6" t="n">
        <f aca="false">AWS!D36</f>
        <v>765.155</v>
      </c>
      <c r="D10" s="6" t="n">
        <f aca="false">Azure!C37</f>
        <v>1517.155</v>
      </c>
      <c r="E10" s="6" t="n">
        <f aca="false">Azure!D37</f>
        <v>933.155</v>
      </c>
    </row>
    <row r="11" customFormat="false" ht="15" hidden="false" customHeight="true" outlineLevel="0" collapsed="false">
      <c r="A11" s="7" t="s">
        <v>13</v>
      </c>
      <c r="B11" s="8" t="n">
        <f aca="false">B9+B10</f>
        <v>14771.801</v>
      </c>
      <c r="C11" s="8" t="n">
        <f aca="false">C9+C10</f>
        <v>9862.281</v>
      </c>
      <c r="D11" s="8" t="n">
        <f aca="false">D9+D10</f>
        <v>15348.91886</v>
      </c>
      <c r="E11" s="8" t="n">
        <f aca="false">E9+E10</f>
        <v>10402.43886</v>
      </c>
    </row>
    <row r="12" customFormat="false" ht="15" hidden="false" customHeight="true" outlineLevel="0" collapsed="false">
      <c r="A12" s="5" t="s">
        <v>14</v>
      </c>
      <c r="B12" s="6" t="n">
        <f aca="false">AWS!C41</f>
        <v>599.33</v>
      </c>
      <c r="C12" s="6" t="n">
        <f aca="false">AWS!D41</f>
        <v>407.5444</v>
      </c>
      <c r="D12" s="9" t="s">
        <v>15</v>
      </c>
      <c r="E12" s="9" t="s">
        <v>15</v>
      </c>
    </row>
    <row r="14" customFormat="false" ht="15" hidden="false" customHeight="true" outlineLevel="0" collapsed="false">
      <c r="A14" s="10" t="s">
        <v>16</v>
      </c>
      <c r="B14" s="11"/>
      <c r="C14" s="11"/>
      <c r="D14" s="11"/>
      <c r="E14" s="11"/>
    </row>
    <row r="15" customFormat="false" ht="15" hidden="false" customHeight="true" outlineLevel="0" collapsed="false">
      <c r="A15" s="5" t="s">
        <v>17</v>
      </c>
      <c r="B15" s="12" t="n">
        <f aca="false">B11*12</f>
        <v>177261.612</v>
      </c>
      <c r="C15" s="12" t="n">
        <f aca="false">C11*12</f>
        <v>118347.372</v>
      </c>
      <c r="D15" s="12" t="n">
        <f aca="false">D11*12</f>
        <v>184187.02632</v>
      </c>
      <c r="E15" s="12" t="n">
        <f aca="false">E11*12</f>
        <v>124829.26632</v>
      </c>
    </row>
    <row r="16" customFormat="false" ht="15" hidden="false" customHeight="true" outlineLevel="0" collapsed="false">
      <c r="A16" s="5" t="s">
        <v>18</v>
      </c>
      <c r="B16" s="12" t="n">
        <f aca="false">B15*(1+Supuestos!$B$29)</f>
        <v>194987.7732</v>
      </c>
      <c r="C16" s="12" t="n">
        <f aca="false">C15*(1+Supuestos!$B$29)</f>
        <v>130182.1092</v>
      </c>
      <c r="D16" s="12" t="n">
        <f aca="false">D15*(1+Supuestos!$B$29)</f>
        <v>202605.728952</v>
      </c>
      <c r="E16" s="12" t="n">
        <f aca="false">E15*(1+Supuestos!$B$29)</f>
        <v>137312.192952</v>
      </c>
    </row>
    <row r="17" customFormat="false" ht="15" hidden="false" customHeight="true" outlineLevel="0" collapsed="false">
      <c r="A17" s="5" t="s">
        <v>19</v>
      </c>
      <c r="B17" s="12" t="n">
        <f aca="false">B16*(1+Supuestos!$B$29)</f>
        <v>214486.55052</v>
      </c>
      <c r="C17" s="12" t="n">
        <f aca="false">C16*(1+Supuestos!$B$29)</f>
        <v>143200.32012</v>
      </c>
      <c r="D17" s="12" t="n">
        <f aca="false">D16*(1+Supuestos!$B$29)</f>
        <v>222866.3018472</v>
      </c>
      <c r="E17" s="12" t="n">
        <f aca="false">E16*(1+Supuestos!$B$29)</f>
        <v>151043.4122472</v>
      </c>
    </row>
    <row r="18" customFormat="false" ht="15" hidden="false" customHeight="true" outlineLevel="0" collapsed="false">
      <c r="A18" s="13" t="s">
        <v>20</v>
      </c>
      <c r="B18" s="14" t="n">
        <f aca="false">SUM(B15:B17)</f>
        <v>586735.93572</v>
      </c>
      <c r="C18" s="14" t="n">
        <f aca="false">SUM(C15:C17)</f>
        <v>391729.80132</v>
      </c>
      <c r="D18" s="14" t="n">
        <f aca="false">SUM(D15:D17)</f>
        <v>609659.0571192</v>
      </c>
      <c r="E18" s="14" t="n">
        <f aca="false">SUM(E15:E17)</f>
        <v>413184.8715192</v>
      </c>
    </row>
    <row r="19" customFormat="false" ht="15" hidden="false" customHeight="true" outlineLevel="0" collapsed="false">
      <c r="A19" s="5" t="s">
        <v>21</v>
      </c>
      <c r="B19" s="6" t="n">
        <f aca="false">Supuestos!$B$30</f>
        <v>15000</v>
      </c>
      <c r="C19" s="6" t="n">
        <f aca="false">Supuestos!$B$30</f>
        <v>15000</v>
      </c>
      <c r="D19" s="6" t="n">
        <f aca="false">Supuestos!$B$30</f>
        <v>15000</v>
      </c>
      <c r="E19" s="6" t="n">
        <f aca="false">Supuestos!$B$30</f>
        <v>15000</v>
      </c>
    </row>
    <row r="20" customFormat="false" ht="15" hidden="false" customHeight="true" outlineLevel="0" collapsed="false">
      <c r="A20" s="7" t="s">
        <v>22</v>
      </c>
      <c r="B20" s="8" t="n">
        <f aca="false">B18+B19</f>
        <v>601735.93572</v>
      </c>
      <c r="C20" s="8" t="n">
        <f aca="false">C18+C19</f>
        <v>406729.80132</v>
      </c>
      <c r="D20" s="8" t="n">
        <f aca="false">D18+D19</f>
        <v>624659.0571192</v>
      </c>
      <c r="E20" s="8" t="n">
        <f aca="false">E18+E19</f>
        <v>428184.8715192</v>
      </c>
    </row>
    <row r="22" customFormat="false" ht="15" hidden="false" customHeight="true" outlineLevel="0" collapsed="false">
      <c r="A22" s="10" t="s">
        <v>23</v>
      </c>
      <c r="B22" s="11"/>
      <c r="C22" s="11"/>
      <c r="D22" s="11"/>
      <c r="E22" s="11"/>
    </row>
    <row r="23" customFormat="false" ht="15" hidden="false" customHeight="true" outlineLevel="0" collapsed="false">
      <c r="A23" s="5" t="s">
        <v>24</v>
      </c>
      <c r="B23" s="15" t="n">
        <f aca="false">B11/Supuestos!$B$9</f>
        <v>24.7061398227128</v>
      </c>
      <c r="C23" s="15" t="n">
        <f aca="false">C11/Supuestos!$B$9</f>
        <v>16.4948670346212</v>
      </c>
      <c r="D23" s="15" t="n">
        <f aca="false">D11/Supuestos!$B$9</f>
        <v>25.6713812677705</v>
      </c>
      <c r="E23" s="15" t="n">
        <f aca="false">E11/Supuestos!$B$9</f>
        <v>17.3982921224285</v>
      </c>
    </row>
    <row r="24" customFormat="false" ht="15" hidden="false" customHeight="true" outlineLevel="0" collapsed="false">
      <c r="A24" s="5" t="s">
        <v>25</v>
      </c>
      <c r="B24" s="15" t="n">
        <f aca="false">B11/Supuestos!$B$12</f>
        <v>984.786733333334</v>
      </c>
      <c r="C24" s="15" t="n">
        <f aca="false">C11/Supuestos!$B$12</f>
        <v>657.4854</v>
      </c>
      <c r="D24" s="15" t="n">
        <f aca="false">D11/Supuestos!$B$12</f>
        <v>1023.26125733333</v>
      </c>
      <c r="E24" s="15" t="n">
        <f aca="false">E11/Supuestos!$B$12</f>
        <v>693.495924</v>
      </c>
    </row>
    <row r="25" customFormat="false" ht="15" hidden="false" customHeight="true" outlineLevel="0" collapsed="false">
      <c r="A25" s="5" t="s">
        <v>26</v>
      </c>
      <c r="B25" s="16" t="n">
        <f aca="false">B11/(Supuestos!$B$12*1000000)</f>
        <v>0.000984786733333333</v>
      </c>
      <c r="C25" s="16" t="n">
        <f aca="false">C11/(Supuestos!$B$12*1000000)</f>
        <v>0.0006574854</v>
      </c>
      <c r="D25" s="16" t="n">
        <f aca="false">D11/(Supuestos!$B$12*1000000)</f>
        <v>0.00102326125733333</v>
      </c>
      <c r="E25" s="16" t="n">
        <f aca="false">E11/(Supuestos!$B$12*1000000)</f>
        <v>0.000693495924</v>
      </c>
    </row>
    <row r="27" customFormat="false" ht="15" hidden="false" customHeight="true" outlineLevel="0" collapsed="false">
      <c r="A27" s="13" t="s">
        <v>27</v>
      </c>
    </row>
    <row r="28" customFormat="false" ht="15" hidden="false" customHeight="true" outlineLevel="0" collapsed="false">
      <c r="A28" s="17" t="s">
        <v>28</v>
      </c>
    </row>
    <row r="29" customFormat="false" ht="15" hidden="false" customHeight="true" outlineLevel="0" collapsed="false">
      <c r="A29" s="17" t="s">
        <v>29</v>
      </c>
    </row>
    <row r="30" customFormat="false" ht="15" hidden="false" customHeight="true" outlineLevel="0" collapsed="false">
      <c r="A30" s="17" t="s">
        <v>30</v>
      </c>
    </row>
    <row r="31" customFormat="false" ht="15" hidden="false" customHeight="true" outlineLevel="0" collapsed="false">
      <c r="A31" s="17" t="s">
        <v>31</v>
      </c>
    </row>
    <row r="32" customFormat="false" ht="15" hidden="false" customHeight="true" outlineLevel="0" collapsed="false">
      <c r="A32" s="17" t="s">
        <v>32</v>
      </c>
    </row>
    <row r="33" customFormat="false" ht="15" hidden="false" customHeight="true" outlineLevel="0" collapsed="false">
      <c r="A33" s="1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4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100"/>
  </cols>
  <sheetData>
    <row r="1" customFormat="false" ht="15.75" hidden="false" customHeight="true" outlineLevel="0" collapsed="false">
      <c r="A1" s="2" t="s">
        <v>34</v>
      </c>
    </row>
    <row r="2" customFormat="false" ht="15" hidden="false" customHeight="true" outlineLevel="0" collapsed="false">
      <c r="A2" s="3" t="s">
        <v>35</v>
      </c>
    </row>
    <row r="3" customFormat="false" ht="15" hidden="false" customHeight="true" outlineLevel="0" collapsed="false">
      <c r="A3" s="3" t="s">
        <v>36</v>
      </c>
    </row>
    <row r="5" customFormat="false" ht="15" hidden="false" customHeight="true" outlineLevel="0" collapsed="false">
      <c r="A5" s="18" t="s">
        <v>37</v>
      </c>
      <c r="B5" s="18" t="s">
        <v>38</v>
      </c>
      <c r="C5" s="18" t="s">
        <v>39</v>
      </c>
      <c r="D5" s="18" t="s">
        <v>40</v>
      </c>
      <c r="E5" s="18" t="s">
        <v>41</v>
      </c>
    </row>
    <row r="6" customFormat="false" ht="15" hidden="false" customHeight="true" outlineLevel="0" collapsed="false">
      <c r="A6" s="10" t="s">
        <v>42</v>
      </c>
      <c r="B6" s="11"/>
      <c r="C6" s="11"/>
      <c r="D6" s="11"/>
      <c r="E6" s="11"/>
    </row>
    <row r="7" customFormat="false" ht="15" hidden="false" customHeight="true" outlineLevel="0" collapsed="false">
      <c r="A7" s="19" t="s">
        <v>43</v>
      </c>
      <c r="B7" s="20" t="n">
        <v>730</v>
      </c>
      <c r="C7" s="5" t="s">
        <v>44</v>
      </c>
      <c r="D7" s="5" t="s">
        <v>45</v>
      </c>
      <c r="E7" s="19" t="s">
        <v>46</v>
      </c>
    </row>
    <row r="8" customFormat="false" ht="15" hidden="false" customHeight="true" outlineLevel="0" collapsed="false">
      <c r="A8" s="19" t="s">
        <v>47</v>
      </c>
      <c r="B8" s="20" t="n">
        <v>1024</v>
      </c>
      <c r="C8" s="5" t="s">
        <v>48</v>
      </c>
      <c r="D8" s="5" t="s">
        <v>45</v>
      </c>
      <c r="E8" s="19" t="s">
        <v>49</v>
      </c>
    </row>
    <row r="9" customFormat="false" ht="15" hidden="false" customHeight="true" outlineLevel="0" collapsed="false">
      <c r="A9" s="19" t="s">
        <v>50</v>
      </c>
      <c r="B9" s="21" t="n">
        <v>597.9</v>
      </c>
      <c r="C9" s="5" t="s">
        <v>51</v>
      </c>
      <c r="D9" s="9" t="s">
        <v>52</v>
      </c>
      <c r="E9" s="19" t="s">
        <v>53</v>
      </c>
    </row>
    <row r="10" customFormat="false" ht="15" hidden="false" customHeight="true" outlineLevel="0" collapsed="false">
      <c r="A10" s="19" t="s">
        <v>54</v>
      </c>
      <c r="B10" s="21" t="n">
        <v>7.91</v>
      </c>
      <c r="C10" s="5" t="s">
        <v>55</v>
      </c>
      <c r="D10" s="9" t="s">
        <v>52</v>
      </c>
      <c r="E10" s="19" t="s">
        <v>56</v>
      </c>
    </row>
    <row r="11" customFormat="false" ht="15" hidden="false" customHeight="true" outlineLevel="0" collapsed="false">
      <c r="A11" s="19" t="s">
        <v>57</v>
      </c>
      <c r="B11" s="21" t="n">
        <v>2</v>
      </c>
      <c r="C11" s="5" t="s">
        <v>55</v>
      </c>
      <c r="D11" s="9" t="s">
        <v>52</v>
      </c>
      <c r="E11" s="19" t="s">
        <v>58</v>
      </c>
    </row>
    <row r="12" customFormat="false" ht="15" hidden="false" customHeight="true" outlineLevel="0" collapsed="false">
      <c r="A12" s="19" t="s">
        <v>59</v>
      </c>
      <c r="B12" s="20" t="n">
        <v>15</v>
      </c>
      <c r="C12" s="5" t="s">
        <v>51</v>
      </c>
      <c r="D12" s="5" t="s">
        <v>60</v>
      </c>
      <c r="E12" s="19" t="s">
        <v>61</v>
      </c>
    </row>
    <row r="13" customFormat="false" ht="15" hidden="false" customHeight="true" outlineLevel="0" collapsed="false">
      <c r="A13" s="19" t="s">
        <v>62</v>
      </c>
      <c r="B13" s="21" t="n">
        <v>497</v>
      </c>
      <c r="C13" s="5" t="s">
        <v>48</v>
      </c>
      <c r="D13" s="9" t="s">
        <v>52</v>
      </c>
      <c r="E13" s="19" t="s">
        <v>63</v>
      </c>
    </row>
    <row r="14" customFormat="false" ht="15" hidden="false" customHeight="true" outlineLevel="0" collapsed="false">
      <c r="A14" s="19" t="s">
        <v>64</v>
      </c>
      <c r="B14" s="21" t="n">
        <v>2</v>
      </c>
      <c r="C14" s="5" t="s">
        <v>65</v>
      </c>
      <c r="D14" s="9" t="s">
        <v>52</v>
      </c>
      <c r="E14" s="19" t="s">
        <v>66</v>
      </c>
    </row>
    <row r="15" customFormat="false" ht="15" hidden="false" customHeight="true" outlineLevel="0" collapsed="false">
      <c r="A15" s="19" t="s">
        <v>67</v>
      </c>
      <c r="B15" s="21" t="n">
        <v>1024</v>
      </c>
      <c r="C15" s="5" t="s">
        <v>48</v>
      </c>
      <c r="D15" s="9" t="s">
        <v>52</v>
      </c>
      <c r="E15" s="19" t="s">
        <v>68</v>
      </c>
    </row>
    <row r="16" customFormat="false" ht="15" hidden="false" customHeight="true" outlineLevel="0" collapsed="false">
      <c r="A16" s="19" t="s">
        <v>69</v>
      </c>
      <c r="B16" s="21" t="n">
        <v>9000</v>
      </c>
      <c r="C16" s="5" t="s">
        <v>70</v>
      </c>
      <c r="D16" s="9" t="s">
        <v>52</v>
      </c>
      <c r="E16" s="19" t="s">
        <v>71</v>
      </c>
    </row>
    <row r="17" customFormat="false" ht="15" hidden="false" customHeight="true" outlineLevel="0" collapsed="false">
      <c r="A17" s="19" t="s">
        <v>72</v>
      </c>
      <c r="B17" s="21" t="n">
        <v>4</v>
      </c>
      <c r="C17" s="5" t="s">
        <v>65</v>
      </c>
      <c r="D17" s="9" t="s">
        <v>52</v>
      </c>
      <c r="E17" s="19" t="s">
        <v>66</v>
      </c>
    </row>
    <row r="18" customFormat="false" ht="15" hidden="false" customHeight="true" outlineLevel="0" collapsed="false">
      <c r="A18" s="19" t="s">
        <v>73</v>
      </c>
      <c r="B18" s="21" t="n">
        <v>4</v>
      </c>
      <c r="C18" s="5" t="s">
        <v>65</v>
      </c>
      <c r="D18" s="9" t="s">
        <v>52</v>
      </c>
      <c r="E18" s="19" t="s">
        <v>66</v>
      </c>
    </row>
    <row r="19" customFormat="false" ht="15" hidden="false" customHeight="true" outlineLevel="0" collapsed="false">
      <c r="A19" s="19" t="s">
        <v>74</v>
      </c>
      <c r="B19" s="21" t="n">
        <v>36</v>
      </c>
      <c r="C19" s="5" t="s">
        <v>44</v>
      </c>
      <c r="D19" s="9" t="s">
        <v>52</v>
      </c>
      <c r="E19" s="19" t="s">
        <v>75</v>
      </c>
    </row>
    <row r="20" customFormat="false" ht="15" hidden="false" customHeight="true" outlineLevel="0" collapsed="false">
      <c r="A20" s="19" t="s">
        <v>76</v>
      </c>
      <c r="B20" s="21" t="n">
        <v>50</v>
      </c>
      <c r="C20" s="5" t="s">
        <v>77</v>
      </c>
      <c r="D20" s="9" t="s">
        <v>52</v>
      </c>
      <c r="E20" s="19" t="s">
        <v>78</v>
      </c>
    </row>
    <row r="21" customFormat="false" ht="15" hidden="false" customHeight="true" outlineLevel="0" collapsed="false">
      <c r="A21" s="19" t="s">
        <v>79</v>
      </c>
      <c r="B21" s="21" t="n">
        <v>10</v>
      </c>
      <c r="C21" s="5" t="s">
        <v>65</v>
      </c>
      <c r="D21" s="9" t="s">
        <v>52</v>
      </c>
      <c r="E21" s="19" t="s">
        <v>66</v>
      </c>
    </row>
    <row r="22" customFormat="false" ht="15" hidden="false" customHeight="true" outlineLevel="0" collapsed="false">
      <c r="A22" s="19" t="s">
        <v>80</v>
      </c>
      <c r="B22" s="21" t="n">
        <v>2</v>
      </c>
      <c r="C22" s="5" t="s">
        <v>65</v>
      </c>
      <c r="D22" s="9" t="s">
        <v>52</v>
      </c>
      <c r="E22" s="19" t="s">
        <v>66</v>
      </c>
    </row>
    <row r="23" customFormat="false" ht="15" hidden="false" customHeight="true" outlineLevel="0" collapsed="false">
      <c r="A23" s="19" t="s">
        <v>81</v>
      </c>
      <c r="B23" s="21" t="n">
        <v>43</v>
      </c>
      <c r="C23" s="5" t="s">
        <v>48</v>
      </c>
      <c r="D23" s="9" t="s">
        <v>52</v>
      </c>
      <c r="E23" s="19" t="s">
        <v>82</v>
      </c>
    </row>
    <row r="24" customFormat="false" ht="15" hidden="false" customHeight="true" outlineLevel="0" collapsed="false">
      <c r="A24" s="19" t="s">
        <v>83</v>
      </c>
      <c r="B24" s="21" t="n">
        <v>26</v>
      </c>
      <c r="C24" s="5" t="s">
        <v>48</v>
      </c>
      <c r="D24" s="9" t="s">
        <v>52</v>
      </c>
      <c r="E24" s="19" t="s">
        <v>84</v>
      </c>
    </row>
    <row r="25" customFormat="false" ht="15" hidden="false" customHeight="true" outlineLevel="0" collapsed="false">
      <c r="A25" s="19" t="s">
        <v>85</v>
      </c>
      <c r="B25" s="21" t="n">
        <v>50</v>
      </c>
      <c r="C25" s="5" t="s">
        <v>51</v>
      </c>
      <c r="D25" s="9" t="s">
        <v>52</v>
      </c>
      <c r="E25" s="19" t="s">
        <v>66</v>
      </c>
    </row>
    <row r="26" customFormat="false" ht="15" hidden="false" customHeight="true" outlineLevel="0" collapsed="false">
      <c r="A26" s="19" t="s">
        <v>86</v>
      </c>
      <c r="B26" s="21" t="n">
        <v>5</v>
      </c>
      <c r="C26" s="5" t="s">
        <v>51</v>
      </c>
      <c r="D26" s="9" t="s">
        <v>52</v>
      </c>
      <c r="E26" s="19" t="s">
        <v>87</v>
      </c>
    </row>
    <row r="27" customFormat="false" ht="15" hidden="false" customHeight="true" outlineLevel="0" collapsed="false">
      <c r="A27" s="19" t="s">
        <v>88</v>
      </c>
      <c r="B27" s="21" t="n">
        <v>100</v>
      </c>
      <c r="C27" s="5" t="s">
        <v>89</v>
      </c>
      <c r="D27" s="9" t="s">
        <v>52</v>
      </c>
      <c r="E27" s="19" t="s">
        <v>66</v>
      </c>
    </row>
    <row r="28" customFormat="false" ht="15" hidden="false" customHeight="true" outlineLevel="0" collapsed="false">
      <c r="A28" s="19" t="s">
        <v>90</v>
      </c>
      <c r="B28" s="21" t="n">
        <v>5120</v>
      </c>
      <c r="C28" s="5" t="s">
        <v>89</v>
      </c>
      <c r="D28" s="9" t="s">
        <v>52</v>
      </c>
      <c r="E28" s="19" t="s">
        <v>91</v>
      </c>
    </row>
    <row r="29" customFormat="false" ht="15" hidden="false" customHeight="true" outlineLevel="0" collapsed="false">
      <c r="A29" s="19" t="s">
        <v>92</v>
      </c>
      <c r="B29" s="22" t="n">
        <v>0.1</v>
      </c>
      <c r="C29" s="5" t="s">
        <v>93</v>
      </c>
      <c r="D29" s="5" t="s">
        <v>60</v>
      </c>
      <c r="E29" s="19" t="s">
        <v>94</v>
      </c>
    </row>
    <row r="30" customFormat="false" ht="15" hidden="false" customHeight="true" outlineLevel="0" collapsed="false">
      <c r="A30" s="19" t="s">
        <v>95</v>
      </c>
      <c r="B30" s="23" t="n">
        <v>15000</v>
      </c>
      <c r="C30" s="5" t="s">
        <v>96</v>
      </c>
      <c r="D30" s="5" t="s">
        <v>60</v>
      </c>
      <c r="E30" s="19" t="s">
        <v>97</v>
      </c>
    </row>
    <row r="31" customFormat="false" ht="15" hidden="false" customHeight="true" outlineLevel="0" collapsed="false">
      <c r="A31" s="10" t="s">
        <v>98</v>
      </c>
      <c r="B31" s="11"/>
      <c r="C31" s="11"/>
      <c r="D31" s="11"/>
      <c r="E31" s="11"/>
    </row>
    <row r="32" customFormat="false" ht="23.25" hidden="false" customHeight="true" outlineLevel="0" collapsed="false">
      <c r="A32" s="19" t="s">
        <v>99</v>
      </c>
      <c r="B32" s="23" t="n">
        <v>2626</v>
      </c>
      <c r="C32" s="5" t="s">
        <v>100</v>
      </c>
      <c r="D32" s="5" t="s">
        <v>101</v>
      </c>
      <c r="E32" s="19" t="s">
        <v>102</v>
      </c>
    </row>
    <row r="33" customFormat="false" ht="15" hidden="false" customHeight="true" outlineLevel="0" collapsed="false">
      <c r="A33" s="19" t="s">
        <v>103</v>
      </c>
      <c r="B33" s="24" t="n">
        <v>1416</v>
      </c>
      <c r="C33" s="5" t="s">
        <v>100</v>
      </c>
      <c r="D33" s="9" t="s">
        <v>104</v>
      </c>
      <c r="E33" s="19" t="s">
        <v>105</v>
      </c>
    </row>
    <row r="34" customFormat="false" ht="15" hidden="false" customHeight="true" outlineLevel="0" collapsed="false">
      <c r="A34" s="19" t="s">
        <v>106</v>
      </c>
      <c r="B34" s="12" t="n">
        <f aca="false">$B$32/2</f>
        <v>1313</v>
      </c>
      <c r="C34" s="5" t="s">
        <v>100</v>
      </c>
      <c r="D34" s="5" t="s">
        <v>107</v>
      </c>
      <c r="E34" s="19" t="s">
        <v>108</v>
      </c>
    </row>
    <row r="35" customFormat="false" ht="15" hidden="false" customHeight="true" outlineLevel="0" collapsed="false">
      <c r="A35" s="19" t="s">
        <v>109</v>
      </c>
      <c r="B35" s="12" t="n">
        <f aca="false">$B$33/2</f>
        <v>708</v>
      </c>
      <c r="C35" s="5" t="s">
        <v>100</v>
      </c>
      <c r="D35" s="5" t="s">
        <v>107</v>
      </c>
      <c r="E35" s="19" t="s">
        <v>110</v>
      </c>
    </row>
    <row r="36" customFormat="false" ht="15" hidden="false" customHeight="true" outlineLevel="0" collapsed="false">
      <c r="A36" s="19" t="s">
        <v>111</v>
      </c>
      <c r="B36" s="25" t="n">
        <v>2</v>
      </c>
      <c r="C36" s="5" t="s">
        <v>112</v>
      </c>
      <c r="D36" s="5" t="s">
        <v>101</v>
      </c>
      <c r="E36" s="19" t="s">
        <v>113</v>
      </c>
    </row>
    <row r="37" customFormat="false" ht="15" hidden="false" customHeight="true" outlineLevel="0" collapsed="false">
      <c r="A37" s="19" t="s">
        <v>114</v>
      </c>
      <c r="B37" s="26" t="n">
        <v>0.115</v>
      </c>
      <c r="C37" s="5" t="s">
        <v>115</v>
      </c>
      <c r="D37" s="5" t="s">
        <v>101</v>
      </c>
      <c r="E37" s="19" t="s">
        <v>116</v>
      </c>
    </row>
    <row r="38" customFormat="false" ht="15" hidden="false" customHeight="true" outlineLevel="0" collapsed="false">
      <c r="A38" s="19" t="s">
        <v>117</v>
      </c>
      <c r="B38" s="26" t="n">
        <v>0.02</v>
      </c>
      <c r="C38" s="5" t="s">
        <v>118</v>
      </c>
      <c r="D38" s="5" t="s">
        <v>101</v>
      </c>
      <c r="E38" s="19" t="s">
        <v>119</v>
      </c>
    </row>
    <row r="39" customFormat="false" ht="15" hidden="false" customHeight="true" outlineLevel="0" collapsed="false">
      <c r="A39" s="19" t="s">
        <v>120</v>
      </c>
      <c r="B39" s="26" t="n">
        <v>0.095</v>
      </c>
      <c r="C39" s="5" t="s">
        <v>115</v>
      </c>
      <c r="D39" s="5" t="s">
        <v>101</v>
      </c>
      <c r="E39" s="19" t="s">
        <v>121</v>
      </c>
    </row>
    <row r="40" customFormat="false" ht="15" hidden="false" customHeight="true" outlineLevel="0" collapsed="false">
      <c r="A40" s="19" t="s">
        <v>122</v>
      </c>
      <c r="B40" s="26" t="n">
        <v>0.768</v>
      </c>
      <c r="C40" s="5" t="s">
        <v>123</v>
      </c>
      <c r="D40" s="5" t="s">
        <v>101</v>
      </c>
      <c r="E40" s="19" t="s">
        <v>124</v>
      </c>
    </row>
    <row r="41" customFormat="false" ht="15" hidden="false" customHeight="true" outlineLevel="0" collapsed="false">
      <c r="A41" s="19" t="s">
        <v>125</v>
      </c>
      <c r="B41" s="26" t="n">
        <v>0.537</v>
      </c>
      <c r="C41" s="5" t="s">
        <v>123</v>
      </c>
      <c r="D41" s="5" t="s">
        <v>101</v>
      </c>
      <c r="E41" s="19" t="s">
        <v>126</v>
      </c>
    </row>
    <row r="42" customFormat="false" ht="15" hidden="false" customHeight="true" outlineLevel="0" collapsed="false">
      <c r="A42" s="19" t="s">
        <v>127</v>
      </c>
      <c r="B42" s="26" t="n">
        <v>0.1</v>
      </c>
      <c r="C42" s="5" t="s">
        <v>123</v>
      </c>
      <c r="D42" s="5" t="s">
        <v>128</v>
      </c>
      <c r="E42" s="19" t="s">
        <v>129</v>
      </c>
    </row>
    <row r="43" customFormat="false" ht="15" hidden="false" customHeight="true" outlineLevel="0" collapsed="false">
      <c r="A43" s="19" t="s">
        <v>130</v>
      </c>
      <c r="B43" s="27" t="n">
        <v>0.023</v>
      </c>
      <c r="C43" s="5" t="s">
        <v>115</v>
      </c>
      <c r="D43" s="5" t="s">
        <v>101</v>
      </c>
      <c r="E43" s="19" t="s">
        <v>131</v>
      </c>
    </row>
    <row r="44" customFormat="false" ht="15" hidden="false" customHeight="true" outlineLevel="0" collapsed="false">
      <c r="A44" s="19" t="s">
        <v>132</v>
      </c>
      <c r="B44" s="27" t="n">
        <v>0.0036</v>
      </c>
      <c r="C44" s="5" t="s">
        <v>115</v>
      </c>
      <c r="D44" s="5" t="s">
        <v>101</v>
      </c>
      <c r="E44" s="19" t="s">
        <v>133</v>
      </c>
    </row>
    <row r="45" customFormat="false" ht="15" hidden="false" customHeight="true" outlineLevel="0" collapsed="false">
      <c r="A45" s="19" t="s">
        <v>134</v>
      </c>
      <c r="B45" s="26" t="n">
        <v>0.005</v>
      </c>
      <c r="C45" s="5" t="s">
        <v>135</v>
      </c>
      <c r="D45" s="5" t="s">
        <v>101</v>
      </c>
      <c r="E45" s="19" t="s">
        <v>136</v>
      </c>
    </row>
    <row r="46" customFormat="false" ht="15" hidden="false" customHeight="true" outlineLevel="0" collapsed="false">
      <c r="A46" s="19" t="s">
        <v>137</v>
      </c>
      <c r="B46" s="28" t="n">
        <v>0.03</v>
      </c>
      <c r="C46" s="5" t="s">
        <v>135</v>
      </c>
      <c r="D46" s="9" t="s">
        <v>104</v>
      </c>
      <c r="E46" s="19" t="s">
        <v>138</v>
      </c>
    </row>
    <row r="47" customFormat="false" ht="15" hidden="false" customHeight="true" outlineLevel="0" collapsed="false">
      <c r="A47" s="19" t="s">
        <v>139</v>
      </c>
      <c r="B47" s="26" t="n">
        <v>0.01</v>
      </c>
      <c r="C47" s="5" t="s">
        <v>140</v>
      </c>
      <c r="D47" s="5" t="s">
        <v>101</v>
      </c>
      <c r="E47" s="19" t="s">
        <v>136</v>
      </c>
    </row>
    <row r="48" customFormat="false" ht="23.25" hidden="false" customHeight="true" outlineLevel="0" collapsed="false">
      <c r="A48" s="19" t="s">
        <v>141</v>
      </c>
      <c r="B48" s="26" t="n">
        <v>0.085</v>
      </c>
      <c r="C48" s="5" t="s">
        <v>140</v>
      </c>
      <c r="D48" s="5" t="s">
        <v>101</v>
      </c>
      <c r="E48" s="19" t="s">
        <v>142</v>
      </c>
    </row>
    <row r="49" customFormat="false" ht="15" hidden="false" customHeight="true" outlineLevel="0" collapsed="false">
      <c r="A49" s="19" t="s">
        <v>143</v>
      </c>
      <c r="B49" s="26" t="n">
        <v>0.08</v>
      </c>
      <c r="C49" s="5" t="s">
        <v>140</v>
      </c>
      <c r="D49" s="5" t="s">
        <v>101</v>
      </c>
      <c r="E49" s="19" t="s">
        <v>144</v>
      </c>
    </row>
    <row r="50" customFormat="false" ht="15" hidden="false" customHeight="true" outlineLevel="0" collapsed="false">
      <c r="A50" s="19" t="s">
        <v>145</v>
      </c>
      <c r="B50" s="20" t="n">
        <v>10</v>
      </c>
      <c r="C50" s="5" t="s">
        <v>146</v>
      </c>
      <c r="D50" s="5" t="s">
        <v>101</v>
      </c>
      <c r="E50" s="19" t="s">
        <v>144</v>
      </c>
    </row>
    <row r="51" customFormat="false" ht="15" hidden="false" customHeight="true" outlineLevel="0" collapsed="false">
      <c r="A51" s="19" t="s">
        <v>147</v>
      </c>
      <c r="B51" s="27" t="n">
        <v>0.01</v>
      </c>
      <c r="C51" s="5" t="s">
        <v>148</v>
      </c>
      <c r="D51" s="5" t="s">
        <v>101</v>
      </c>
      <c r="E51" s="19" t="s">
        <v>149</v>
      </c>
    </row>
    <row r="52" customFormat="false" ht="15" hidden="false" customHeight="true" outlineLevel="0" collapsed="false">
      <c r="A52" s="19" t="s">
        <v>150</v>
      </c>
      <c r="B52" s="26" t="n">
        <v>0.02</v>
      </c>
      <c r="C52" s="5" t="s">
        <v>140</v>
      </c>
      <c r="D52" s="5" t="s">
        <v>101</v>
      </c>
      <c r="E52" s="19" t="s">
        <v>151</v>
      </c>
    </row>
    <row r="53" customFormat="false" ht="15" hidden="false" customHeight="true" outlineLevel="0" collapsed="false">
      <c r="A53" s="19" t="s">
        <v>152</v>
      </c>
      <c r="B53" s="23" t="n">
        <v>5</v>
      </c>
      <c r="C53" s="5" t="s">
        <v>100</v>
      </c>
      <c r="D53" s="5" t="s">
        <v>128</v>
      </c>
      <c r="E53" s="19" t="s">
        <v>153</v>
      </c>
    </row>
    <row r="54" customFormat="false" ht="15" hidden="false" customHeight="true" outlineLevel="0" collapsed="false">
      <c r="A54" s="19" t="s">
        <v>154</v>
      </c>
      <c r="B54" s="23" t="n">
        <v>1</v>
      </c>
      <c r="C54" s="5" t="s">
        <v>100</v>
      </c>
      <c r="D54" s="5" t="s">
        <v>101</v>
      </c>
      <c r="E54" s="19" t="s">
        <v>155</v>
      </c>
    </row>
    <row r="55" customFormat="false" ht="15" hidden="false" customHeight="true" outlineLevel="0" collapsed="false">
      <c r="A55" s="19" t="s">
        <v>156</v>
      </c>
      <c r="B55" s="26" t="n">
        <v>0.6</v>
      </c>
      <c r="C55" s="5" t="s">
        <v>157</v>
      </c>
      <c r="D55" s="5" t="s">
        <v>128</v>
      </c>
      <c r="E55" s="19" t="s">
        <v>158</v>
      </c>
    </row>
    <row r="56" customFormat="false" ht="15" hidden="false" customHeight="true" outlineLevel="0" collapsed="false">
      <c r="A56" s="19" t="s">
        <v>159</v>
      </c>
      <c r="B56" s="27" t="n">
        <v>0.0225</v>
      </c>
      <c r="C56" s="5" t="s">
        <v>123</v>
      </c>
      <c r="D56" s="5" t="s">
        <v>101</v>
      </c>
      <c r="E56" s="19" t="s">
        <v>160</v>
      </c>
    </row>
    <row r="57" customFormat="false" ht="15" hidden="false" customHeight="true" outlineLevel="0" collapsed="false">
      <c r="A57" s="19" t="s">
        <v>161</v>
      </c>
      <c r="B57" s="26" t="n">
        <v>0.008</v>
      </c>
      <c r="C57" s="5" t="s">
        <v>162</v>
      </c>
      <c r="D57" s="5" t="s">
        <v>101</v>
      </c>
      <c r="E57" s="19" t="s">
        <v>163</v>
      </c>
    </row>
    <row r="58" customFormat="false" ht="15" hidden="false" customHeight="true" outlineLevel="0" collapsed="false">
      <c r="A58" s="19" t="s">
        <v>164</v>
      </c>
      <c r="B58" s="26" t="n">
        <v>0.821</v>
      </c>
      <c r="C58" s="5" t="s">
        <v>123</v>
      </c>
      <c r="D58" s="5" t="s">
        <v>101</v>
      </c>
      <c r="E58" s="19" t="s">
        <v>165</v>
      </c>
    </row>
    <row r="59" customFormat="false" ht="15" hidden="false" customHeight="true" outlineLevel="0" collapsed="false">
      <c r="A59" s="19" t="s">
        <v>166</v>
      </c>
      <c r="B59" s="16" t="n">
        <f aca="false">$B$58/2</f>
        <v>0.4105</v>
      </c>
      <c r="C59" s="5" t="s">
        <v>123</v>
      </c>
      <c r="D59" s="5" t="s">
        <v>107</v>
      </c>
      <c r="E59" s="19" t="s">
        <v>167</v>
      </c>
    </row>
    <row r="60" customFormat="false" ht="15" hidden="false" customHeight="true" outlineLevel="0" collapsed="false">
      <c r="A60" s="19" t="s">
        <v>168</v>
      </c>
      <c r="B60" s="22" t="n">
        <v>0.32</v>
      </c>
      <c r="C60" s="5" t="s">
        <v>93</v>
      </c>
      <c r="D60" s="5" t="s">
        <v>101</v>
      </c>
      <c r="E60" s="19" t="s">
        <v>169</v>
      </c>
    </row>
    <row r="61" customFormat="false" ht="15" hidden="false" customHeight="true" outlineLevel="0" collapsed="false">
      <c r="A61" s="10" t="s">
        <v>170</v>
      </c>
      <c r="B61" s="11"/>
      <c r="C61" s="11"/>
      <c r="D61" s="11"/>
      <c r="E61" s="11"/>
    </row>
    <row r="62" customFormat="false" ht="15" hidden="false" customHeight="true" outlineLevel="0" collapsed="false">
      <c r="A62" s="19" t="s">
        <v>171</v>
      </c>
      <c r="B62" s="23" t="n">
        <v>2920</v>
      </c>
      <c r="C62" s="5" t="s">
        <v>100</v>
      </c>
      <c r="D62" s="5" t="s">
        <v>101</v>
      </c>
      <c r="E62" s="19" t="s">
        <v>172</v>
      </c>
    </row>
    <row r="63" customFormat="false" ht="15" hidden="false" customHeight="true" outlineLevel="0" collapsed="false">
      <c r="A63" s="19" t="s">
        <v>173</v>
      </c>
      <c r="B63" s="23" t="n">
        <v>1752</v>
      </c>
      <c r="C63" s="5" t="s">
        <v>100</v>
      </c>
      <c r="D63" s="5" t="s">
        <v>101</v>
      </c>
      <c r="E63" s="19" t="s">
        <v>174</v>
      </c>
    </row>
    <row r="64" customFormat="false" ht="15" hidden="false" customHeight="true" outlineLevel="0" collapsed="false">
      <c r="A64" s="19" t="s">
        <v>175</v>
      </c>
      <c r="B64" s="12" t="n">
        <f aca="false">$B$62/2</f>
        <v>1460</v>
      </c>
      <c r="C64" s="5" t="s">
        <v>100</v>
      </c>
      <c r="D64" s="5" t="s">
        <v>107</v>
      </c>
      <c r="E64" s="19" t="s">
        <v>176</v>
      </c>
    </row>
    <row r="65" customFormat="false" ht="15" hidden="false" customHeight="true" outlineLevel="0" collapsed="false">
      <c r="A65" s="19" t="s">
        <v>177</v>
      </c>
      <c r="B65" s="12" t="n">
        <f aca="false">$B$63/2</f>
        <v>876</v>
      </c>
      <c r="C65" s="5" t="s">
        <v>100</v>
      </c>
      <c r="D65" s="5" t="s">
        <v>107</v>
      </c>
      <c r="E65" s="19" t="s">
        <v>178</v>
      </c>
    </row>
    <row r="66" customFormat="false" ht="15" hidden="false" customHeight="true" outlineLevel="0" collapsed="false">
      <c r="A66" s="19" t="s">
        <v>179</v>
      </c>
      <c r="B66" s="25" t="n">
        <v>2</v>
      </c>
      <c r="C66" s="5" t="s">
        <v>112</v>
      </c>
      <c r="D66" s="5" t="s">
        <v>101</v>
      </c>
      <c r="E66" s="19" t="s">
        <v>180</v>
      </c>
    </row>
    <row r="67" customFormat="false" ht="15" hidden="false" customHeight="true" outlineLevel="0" collapsed="false">
      <c r="A67" s="19" t="s">
        <v>181</v>
      </c>
      <c r="B67" s="28" t="n">
        <v>0.115</v>
      </c>
      <c r="C67" s="5" t="s">
        <v>115</v>
      </c>
      <c r="D67" s="9" t="s">
        <v>52</v>
      </c>
      <c r="E67" s="19" t="s">
        <v>182</v>
      </c>
    </row>
    <row r="68" customFormat="false" ht="15" hidden="false" customHeight="true" outlineLevel="0" collapsed="false">
      <c r="A68" s="19" t="s">
        <v>120</v>
      </c>
      <c r="B68" s="28" t="n">
        <v>0.095</v>
      </c>
      <c r="C68" s="5" t="s">
        <v>115</v>
      </c>
      <c r="D68" s="9" t="s">
        <v>52</v>
      </c>
      <c r="E68" s="19" t="s">
        <v>183</v>
      </c>
    </row>
    <row r="69" customFormat="false" ht="15" hidden="false" customHeight="true" outlineLevel="0" collapsed="false">
      <c r="A69" s="19" t="s">
        <v>184</v>
      </c>
      <c r="B69" s="26" t="n">
        <v>0.768</v>
      </c>
      <c r="C69" s="5" t="s">
        <v>123</v>
      </c>
      <c r="D69" s="5" t="s">
        <v>101</v>
      </c>
      <c r="E69" s="19" t="s">
        <v>185</v>
      </c>
    </row>
    <row r="70" customFormat="false" ht="15" hidden="false" customHeight="true" outlineLevel="0" collapsed="false">
      <c r="A70" s="19" t="s">
        <v>186</v>
      </c>
      <c r="B70" s="28" t="n">
        <v>0.474</v>
      </c>
      <c r="C70" s="5" t="s">
        <v>123</v>
      </c>
      <c r="D70" s="9" t="s">
        <v>104</v>
      </c>
      <c r="E70" s="19" t="s">
        <v>187</v>
      </c>
    </row>
    <row r="71" customFormat="false" ht="15" hidden="false" customHeight="true" outlineLevel="0" collapsed="false">
      <c r="A71" s="19" t="s">
        <v>188</v>
      </c>
      <c r="B71" s="28" t="n">
        <v>0.1</v>
      </c>
      <c r="C71" s="5" t="s">
        <v>123</v>
      </c>
      <c r="D71" s="9" t="s">
        <v>52</v>
      </c>
      <c r="E71" s="19" t="s">
        <v>189</v>
      </c>
    </row>
    <row r="72" customFormat="false" ht="15" hidden="false" customHeight="true" outlineLevel="0" collapsed="false">
      <c r="A72" s="19" t="s">
        <v>190</v>
      </c>
      <c r="B72" s="27" t="n">
        <v>0.0208</v>
      </c>
      <c r="C72" s="5" t="s">
        <v>115</v>
      </c>
      <c r="D72" s="5" t="s">
        <v>101</v>
      </c>
      <c r="E72" s="19" t="s">
        <v>191</v>
      </c>
    </row>
    <row r="73" customFormat="false" ht="15" hidden="false" customHeight="true" outlineLevel="0" collapsed="false">
      <c r="A73" s="19" t="s">
        <v>192</v>
      </c>
      <c r="B73" s="29" t="n">
        <v>0.00099</v>
      </c>
      <c r="C73" s="5" t="s">
        <v>115</v>
      </c>
      <c r="D73" s="5" t="s">
        <v>101</v>
      </c>
      <c r="E73" s="19" t="s">
        <v>193</v>
      </c>
    </row>
    <row r="74" customFormat="false" ht="15" hidden="false" customHeight="true" outlineLevel="0" collapsed="false">
      <c r="A74" s="19" t="s">
        <v>194</v>
      </c>
      <c r="B74" s="28" t="n">
        <v>0.065</v>
      </c>
      <c r="C74" s="5" t="s">
        <v>148</v>
      </c>
      <c r="D74" s="9" t="s">
        <v>104</v>
      </c>
      <c r="E74" s="19" t="s">
        <v>195</v>
      </c>
    </row>
    <row r="75" customFormat="false" ht="15" hidden="false" customHeight="true" outlineLevel="0" collapsed="false">
      <c r="A75" s="19" t="s">
        <v>196</v>
      </c>
      <c r="B75" s="28" t="n">
        <v>0.13</v>
      </c>
      <c r="C75" s="5" t="s">
        <v>148</v>
      </c>
      <c r="D75" s="9" t="s">
        <v>104</v>
      </c>
      <c r="E75" s="19" t="s">
        <v>197</v>
      </c>
    </row>
    <row r="76" customFormat="false" ht="15" hidden="false" customHeight="true" outlineLevel="0" collapsed="false">
      <c r="A76" s="19" t="s">
        <v>198</v>
      </c>
      <c r="B76" s="28" t="n">
        <v>0.02</v>
      </c>
      <c r="C76" s="5" t="s">
        <v>140</v>
      </c>
      <c r="D76" s="9" t="s">
        <v>104</v>
      </c>
      <c r="E76" s="19" t="s">
        <v>199</v>
      </c>
    </row>
    <row r="77" customFormat="false" ht="15" hidden="false" customHeight="true" outlineLevel="0" collapsed="false">
      <c r="A77" s="19" t="s">
        <v>200</v>
      </c>
      <c r="B77" s="23" t="n">
        <v>330</v>
      </c>
      <c r="C77" s="5" t="s">
        <v>100</v>
      </c>
      <c r="D77" s="5" t="s">
        <v>128</v>
      </c>
      <c r="E77" s="19" t="s">
        <v>201</v>
      </c>
    </row>
    <row r="78" customFormat="false" ht="15" hidden="false" customHeight="true" outlineLevel="0" collapsed="false">
      <c r="A78" s="19" t="s">
        <v>202</v>
      </c>
      <c r="B78" s="30" t="n">
        <v>0.015</v>
      </c>
      <c r="C78" s="5" t="s">
        <v>148</v>
      </c>
      <c r="D78" s="9" t="s">
        <v>104</v>
      </c>
      <c r="E78" s="19" t="s">
        <v>203</v>
      </c>
    </row>
    <row r="79" customFormat="false" ht="15" hidden="false" customHeight="true" outlineLevel="0" collapsed="false">
      <c r="A79" s="19" t="s">
        <v>204</v>
      </c>
      <c r="B79" s="26" t="n">
        <v>0.083</v>
      </c>
      <c r="C79" s="5" t="s">
        <v>140</v>
      </c>
      <c r="D79" s="5" t="s">
        <v>101</v>
      </c>
      <c r="E79" s="19" t="s">
        <v>205</v>
      </c>
    </row>
    <row r="80" customFormat="false" ht="15" hidden="false" customHeight="true" outlineLevel="0" collapsed="false">
      <c r="A80" s="19" t="s">
        <v>206</v>
      </c>
      <c r="B80" s="26" t="n">
        <v>0.066</v>
      </c>
      <c r="C80" s="5" t="s">
        <v>140</v>
      </c>
      <c r="D80" s="5" t="s">
        <v>101</v>
      </c>
      <c r="E80" s="19" t="s">
        <v>207</v>
      </c>
    </row>
    <row r="81" customFormat="false" ht="15" hidden="false" customHeight="true" outlineLevel="0" collapsed="false">
      <c r="A81" s="19" t="s">
        <v>208</v>
      </c>
      <c r="B81" s="20" t="n">
        <v>10</v>
      </c>
      <c r="C81" s="5" t="s">
        <v>146</v>
      </c>
      <c r="D81" s="5" t="s">
        <v>101</v>
      </c>
      <c r="E81" s="19" t="s">
        <v>207</v>
      </c>
    </row>
    <row r="82" customFormat="false" ht="15" hidden="false" customHeight="true" outlineLevel="0" collapsed="false">
      <c r="A82" s="19" t="s">
        <v>209</v>
      </c>
      <c r="B82" s="26" t="n">
        <v>0.02</v>
      </c>
      <c r="C82" s="5" t="s">
        <v>140</v>
      </c>
      <c r="D82" s="5" t="s">
        <v>101</v>
      </c>
      <c r="E82" s="19" t="s">
        <v>207</v>
      </c>
    </row>
    <row r="83" customFormat="false" ht="15" hidden="false" customHeight="true" outlineLevel="0" collapsed="false">
      <c r="A83" s="19" t="s">
        <v>210</v>
      </c>
      <c r="B83" s="30" t="n">
        <v>0.025</v>
      </c>
      <c r="C83" s="5" t="s">
        <v>123</v>
      </c>
      <c r="D83" s="9" t="s">
        <v>104</v>
      </c>
      <c r="E83" s="19" t="s">
        <v>211</v>
      </c>
    </row>
    <row r="84" customFormat="false" ht="15" hidden="false" customHeight="true" outlineLevel="0" collapsed="false">
      <c r="A84" s="19" t="s">
        <v>212</v>
      </c>
      <c r="B84" s="28" t="n">
        <v>0.005</v>
      </c>
      <c r="C84" s="5" t="s">
        <v>140</v>
      </c>
      <c r="D84" s="9" t="s">
        <v>104</v>
      </c>
      <c r="E84" s="19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52"/>
    <col collapsed="false" customWidth="true" hidden="false" outlineLevel="0" max="3" min="3" style="1" width="17"/>
    <col collapsed="false" customWidth="true" hidden="false" outlineLevel="0" max="4" min="4" style="1" width="19"/>
    <col collapsed="false" customWidth="true" hidden="false" outlineLevel="0" max="5" min="5" style="1" width="13"/>
    <col collapsed="false" customWidth="true" hidden="false" outlineLevel="0" max="6" min="6" style="1" width="80"/>
  </cols>
  <sheetData>
    <row r="1" customFormat="false" ht="15.75" hidden="false" customHeight="true" outlineLevel="0" collapsed="false">
      <c r="A1" s="2" t="s">
        <v>214</v>
      </c>
    </row>
    <row r="2" customFormat="false" ht="15" hidden="false" customHeight="true" outlineLevel="0" collapsed="false">
      <c r="A2" s="3" t="s">
        <v>215</v>
      </c>
    </row>
    <row r="4" customFormat="false" ht="23.25" hidden="false" customHeight="true" outlineLevel="0" collapsed="false">
      <c r="A4" s="4" t="s">
        <v>216</v>
      </c>
      <c r="B4" s="4" t="s">
        <v>217</v>
      </c>
      <c r="C4" s="4" t="s">
        <v>218</v>
      </c>
      <c r="D4" s="4" t="s">
        <v>219</v>
      </c>
      <c r="E4" s="4" t="s">
        <v>40</v>
      </c>
      <c r="F4" s="4" t="s">
        <v>220</v>
      </c>
    </row>
    <row r="5" customFormat="false" ht="15" hidden="false" customHeight="true" outlineLevel="0" collapsed="false">
      <c r="A5" s="10" t="s">
        <v>221</v>
      </c>
      <c r="B5" s="11"/>
      <c r="C5" s="11"/>
      <c r="D5" s="11"/>
      <c r="E5" s="11"/>
      <c r="F5" s="11"/>
    </row>
    <row r="6" customFormat="false" ht="23.25" hidden="false" customHeight="true" outlineLevel="0" collapsed="false">
      <c r="A6" s="19" t="s">
        <v>222</v>
      </c>
      <c r="B6" s="19" t="s">
        <v>223</v>
      </c>
      <c r="C6" s="15" t="n">
        <f aca="false">Supuestos!$B$32*Supuestos!$B$36</f>
        <v>5252</v>
      </c>
      <c r="D6" s="15" t="n">
        <f aca="false">Supuestos!$B$33*Supuestos!$B$36</f>
        <v>2832</v>
      </c>
      <c r="E6" s="5" t="s">
        <v>101</v>
      </c>
      <c r="F6" s="19" t="s">
        <v>224</v>
      </c>
    </row>
    <row r="7" customFormat="false" ht="15" hidden="false" customHeight="true" outlineLevel="0" collapsed="false">
      <c r="A7" s="19" t="s">
        <v>225</v>
      </c>
      <c r="B7" s="19" t="s">
        <v>226</v>
      </c>
      <c r="C7" s="15" t="n">
        <f aca="false">Supuestos!$B$14*Supuestos!$B$34</f>
        <v>2626</v>
      </c>
      <c r="D7" s="15" t="n">
        <f aca="false">Supuestos!$B$14*Supuestos!$B$35</f>
        <v>1416</v>
      </c>
      <c r="E7" s="5" t="s">
        <v>107</v>
      </c>
      <c r="F7" s="19" t="s">
        <v>227</v>
      </c>
    </row>
    <row r="8" customFormat="false" ht="15" hidden="false" customHeight="true" outlineLevel="0" collapsed="false">
      <c r="A8" s="19" t="s">
        <v>228</v>
      </c>
      <c r="B8" s="19" t="s">
        <v>229</v>
      </c>
      <c r="C8" s="15" t="n">
        <f aca="false">Supuestos!$B$13*Supuestos!$B$37*Supuestos!$B$36</f>
        <v>114.31</v>
      </c>
      <c r="D8" s="15" t="n">
        <f aca="false">C8</f>
        <v>114.31</v>
      </c>
      <c r="E8" s="5" t="s">
        <v>101</v>
      </c>
      <c r="F8" s="19"/>
    </row>
    <row r="9" customFormat="false" ht="15" hidden="false" customHeight="true" outlineLevel="0" collapsed="false">
      <c r="A9" s="19" t="s">
        <v>230</v>
      </c>
      <c r="B9" s="19" t="s">
        <v>231</v>
      </c>
      <c r="C9" s="15" t="n">
        <f aca="false">Supuestos!$B$14*Supuestos!$B$13*Supuestos!$B$37</f>
        <v>114.31</v>
      </c>
      <c r="D9" s="15" t="n">
        <f aca="false">C9</f>
        <v>114.31</v>
      </c>
      <c r="E9" s="5" t="s">
        <v>101</v>
      </c>
      <c r="F9" s="19"/>
    </row>
    <row r="10" customFormat="false" ht="15" hidden="false" customHeight="true" outlineLevel="0" collapsed="false">
      <c r="A10" s="19" t="s">
        <v>232</v>
      </c>
      <c r="B10" s="19" t="s">
        <v>233</v>
      </c>
      <c r="C10" s="15" t="n">
        <f aca="false">Supuestos!$B$16*Supuestos!$B$38*Supuestos!$B$36</f>
        <v>360</v>
      </c>
      <c r="D10" s="15" t="n">
        <f aca="false">C10</f>
        <v>360</v>
      </c>
      <c r="E10" s="9" t="s">
        <v>52</v>
      </c>
      <c r="F10" s="19" t="s">
        <v>234</v>
      </c>
    </row>
    <row r="11" customFormat="false" ht="15" hidden="false" customHeight="true" outlineLevel="0" collapsed="false">
      <c r="A11" s="19" t="s">
        <v>235</v>
      </c>
      <c r="B11" s="19" t="s">
        <v>236</v>
      </c>
      <c r="C11" s="15" t="n">
        <f aca="false">Supuestos!$B$15*Supuestos!$B$39</f>
        <v>97.28</v>
      </c>
      <c r="D11" s="15" t="n">
        <f aca="false">C11</f>
        <v>97.28</v>
      </c>
      <c r="E11" s="5" t="s">
        <v>101</v>
      </c>
      <c r="F11" s="19" t="s">
        <v>237</v>
      </c>
    </row>
    <row r="12" customFormat="false" ht="15" hidden="false" customHeight="true" outlineLevel="0" collapsed="false">
      <c r="A12" s="13" t="s">
        <v>238</v>
      </c>
      <c r="C12" s="31" t="n">
        <f aca="false">SUM(C6:C11)</f>
        <v>8563.9</v>
      </c>
      <c r="D12" s="31" t="n">
        <f aca="false">SUM(D6:D11)</f>
        <v>4933.9</v>
      </c>
    </row>
    <row r="13" customFormat="false" ht="15" hidden="false" customHeight="true" outlineLevel="0" collapsed="false">
      <c r="A13" s="10" t="s">
        <v>239</v>
      </c>
      <c r="B13" s="11"/>
      <c r="C13" s="11"/>
      <c r="D13" s="11"/>
      <c r="E13" s="11"/>
      <c r="F13" s="11"/>
    </row>
    <row r="14" customFormat="false" ht="15" hidden="false" customHeight="true" outlineLevel="0" collapsed="false">
      <c r="A14" s="19" t="s">
        <v>240</v>
      </c>
      <c r="B14" s="19" t="s">
        <v>241</v>
      </c>
      <c r="C14" s="15" t="n">
        <f aca="false">Supuestos!$B$42*Supuestos!$B$7</f>
        <v>73</v>
      </c>
      <c r="D14" s="15" t="n">
        <f aca="false">C14</f>
        <v>73</v>
      </c>
      <c r="E14" s="5" t="s">
        <v>128</v>
      </c>
      <c r="F14" s="19"/>
    </row>
    <row r="15" customFormat="false" ht="15" hidden="false" customHeight="true" outlineLevel="0" collapsed="false">
      <c r="A15" s="19" t="s">
        <v>242</v>
      </c>
      <c r="B15" s="19" t="s">
        <v>243</v>
      </c>
      <c r="C15" s="15" t="n">
        <f aca="false">Supuestos!$B$17*Supuestos!$B$7*Supuestos!$B$40</f>
        <v>2242.56</v>
      </c>
      <c r="D15" s="15" t="n">
        <f aca="false">Supuestos!$B$17*Supuestos!$B$7*Supuestos!$B$41</f>
        <v>1568.04</v>
      </c>
      <c r="E15" s="5" t="s">
        <v>101</v>
      </c>
      <c r="F15" s="19" t="s">
        <v>244</v>
      </c>
    </row>
    <row r="16" customFormat="false" ht="15" hidden="false" customHeight="true" outlineLevel="0" collapsed="false">
      <c r="A16" s="19" t="s">
        <v>245</v>
      </c>
      <c r="B16" s="19" t="s">
        <v>246</v>
      </c>
      <c r="C16" s="15" t="n">
        <f aca="false">Supuestos!$B$18*Supuestos!$B$19*Supuestos!$B$40</f>
        <v>110.592</v>
      </c>
      <c r="D16" s="15" t="n">
        <f aca="false">C16</f>
        <v>110.592</v>
      </c>
      <c r="E16" s="5" t="s">
        <v>101</v>
      </c>
      <c r="F16" s="19"/>
    </row>
    <row r="17" customFormat="false" ht="15" hidden="false" customHeight="true" outlineLevel="0" collapsed="false">
      <c r="A17" s="13" t="s">
        <v>247</v>
      </c>
      <c r="C17" s="31" t="n">
        <f aca="false">SUM(C14:C16)</f>
        <v>2426.152</v>
      </c>
      <c r="D17" s="31" t="n">
        <f aca="false">SUM(D14:D16)</f>
        <v>1751.632</v>
      </c>
    </row>
    <row r="18" customFormat="false" ht="15" hidden="false" customHeight="true" outlineLevel="0" collapsed="false">
      <c r="A18" s="10" t="s">
        <v>248</v>
      </c>
      <c r="B18" s="11"/>
      <c r="C18" s="11"/>
      <c r="D18" s="11"/>
      <c r="E18" s="11"/>
      <c r="F18" s="11"/>
    </row>
    <row r="19" customFormat="false" ht="15" hidden="false" customHeight="true" outlineLevel="0" collapsed="false">
      <c r="A19" s="19" t="s">
        <v>249</v>
      </c>
      <c r="B19" s="19" t="s">
        <v>250</v>
      </c>
      <c r="C19" s="15" t="n">
        <f aca="false">Supuestos!$B$23*Supuestos!$B$43</f>
        <v>0.989</v>
      </c>
      <c r="D19" s="15" t="n">
        <f aca="false">C19</f>
        <v>0.989</v>
      </c>
      <c r="E19" s="5" t="s">
        <v>101</v>
      </c>
      <c r="F19" s="19"/>
    </row>
    <row r="20" customFormat="false" ht="15" hidden="false" customHeight="true" outlineLevel="0" collapsed="false">
      <c r="A20" s="19" t="s">
        <v>251</v>
      </c>
      <c r="B20" s="19" t="s">
        <v>250</v>
      </c>
      <c r="C20" s="15" t="n">
        <f aca="false">Supuestos!$B$24*Supuestos!$B$44</f>
        <v>0.0936</v>
      </c>
      <c r="D20" s="15" t="n">
        <f aca="false">C20</f>
        <v>0.0936</v>
      </c>
      <c r="E20" s="5" t="s">
        <v>101</v>
      </c>
      <c r="F20" s="19"/>
    </row>
    <row r="21" customFormat="false" ht="15" hidden="false" customHeight="true" outlineLevel="0" collapsed="false">
      <c r="A21" s="19" t="s">
        <v>252</v>
      </c>
      <c r="B21" s="19" t="s">
        <v>253</v>
      </c>
      <c r="C21" s="15" t="n">
        <f aca="false">Supuestos!$B$25*1000*Supuestos!$B$45</f>
        <v>250</v>
      </c>
      <c r="D21" s="15" t="n">
        <f aca="false">C21</f>
        <v>250</v>
      </c>
      <c r="E21" s="5" t="s">
        <v>101</v>
      </c>
      <c r="F21" s="19"/>
    </row>
    <row r="22" customFormat="false" ht="15" hidden="false" customHeight="true" outlineLevel="0" collapsed="false">
      <c r="A22" s="19" t="s">
        <v>254</v>
      </c>
      <c r="B22" s="19" t="s">
        <v>253</v>
      </c>
      <c r="C22" s="15" t="n">
        <f aca="false">Supuestos!$B$26*1000*Supuestos!$B$46</f>
        <v>150</v>
      </c>
      <c r="D22" s="15" t="n">
        <f aca="false">C22</f>
        <v>150</v>
      </c>
      <c r="E22" s="9" t="s">
        <v>104</v>
      </c>
      <c r="F22" s="19"/>
    </row>
    <row r="23" customFormat="false" ht="15" hidden="false" customHeight="true" outlineLevel="0" collapsed="false">
      <c r="A23" s="19" t="s">
        <v>255</v>
      </c>
      <c r="B23" s="19" t="s">
        <v>250</v>
      </c>
      <c r="C23" s="15" t="n">
        <f aca="false">Supuestos!$B$27*Supuestos!$B$47</f>
        <v>1</v>
      </c>
      <c r="D23" s="15" t="n">
        <f aca="false">C23</f>
        <v>1</v>
      </c>
      <c r="E23" s="5" t="s">
        <v>101</v>
      </c>
      <c r="F23" s="19" t="s">
        <v>256</v>
      </c>
    </row>
    <row r="24" customFormat="false" ht="15" hidden="false" customHeight="true" outlineLevel="0" collapsed="false">
      <c r="A24" s="13" t="s">
        <v>257</v>
      </c>
      <c r="C24" s="31" t="n">
        <f aca="false">SUM(C19:C23)</f>
        <v>402.0826</v>
      </c>
      <c r="D24" s="31" t="n">
        <f aca="false">SUM(D19:D23)</f>
        <v>402.0826</v>
      </c>
    </row>
    <row r="25" customFormat="false" ht="15" hidden="false" customHeight="true" outlineLevel="0" collapsed="false">
      <c r="A25" s="10" t="s">
        <v>10</v>
      </c>
      <c r="B25" s="11"/>
      <c r="C25" s="11"/>
      <c r="D25" s="11"/>
      <c r="E25" s="11"/>
      <c r="F25" s="11"/>
    </row>
    <row r="26" customFormat="false" ht="15" hidden="false" customHeight="true" outlineLevel="0" collapsed="false">
      <c r="A26" s="19" t="s">
        <v>258</v>
      </c>
      <c r="B26" s="19" t="s">
        <v>259</v>
      </c>
      <c r="C26" s="15" t="n">
        <f aca="false">MIN(Supuestos!$B$10,Supuestos!$B$50)*Supuestos!$B$8*Supuestos!$B$48+MAX(0,Supuestos!$B$10-Supuestos!$B$50)*Supuestos!$B$8*Supuestos!$B$49</f>
        <v>688.4864</v>
      </c>
      <c r="D26" s="15" t="n">
        <f aca="false">C26</f>
        <v>688.4864</v>
      </c>
      <c r="E26" s="5" t="s">
        <v>101</v>
      </c>
      <c r="F26" s="19"/>
    </row>
    <row r="27" customFormat="false" ht="15" hidden="false" customHeight="true" outlineLevel="0" collapsed="false">
      <c r="A27" s="19" t="s">
        <v>260</v>
      </c>
      <c r="B27" s="19" t="s">
        <v>261</v>
      </c>
      <c r="C27" s="15" t="n">
        <f aca="false">Supuestos!$B$9*100*Supuestos!$B$51</f>
        <v>597.9</v>
      </c>
      <c r="D27" s="15" t="n">
        <f aca="false">C27</f>
        <v>597.9</v>
      </c>
      <c r="E27" s="5" t="s">
        <v>101</v>
      </c>
      <c r="F27" s="19" t="s">
        <v>262</v>
      </c>
    </row>
    <row r="28" customFormat="false" ht="15" hidden="false" customHeight="true" outlineLevel="0" collapsed="false">
      <c r="A28" s="19" t="s">
        <v>150</v>
      </c>
      <c r="B28" s="19" t="s">
        <v>263</v>
      </c>
      <c r="C28" s="15" t="n">
        <f aca="false">Supuestos!$B$11*Supuestos!$B$8*Supuestos!$B$52</f>
        <v>40.96</v>
      </c>
      <c r="D28" s="15" t="n">
        <f aca="false">C28</f>
        <v>40.96</v>
      </c>
      <c r="E28" s="5" t="s">
        <v>101</v>
      </c>
      <c r="F28" s="19"/>
    </row>
    <row r="29" customFormat="false" ht="15" hidden="false" customHeight="true" outlineLevel="0" collapsed="false">
      <c r="A29" s="19" t="s">
        <v>264</v>
      </c>
      <c r="B29" s="19" t="s">
        <v>265</v>
      </c>
      <c r="C29" s="15" t="n">
        <f aca="false">Supuestos!$B$53+Supuestos!$B$21*Supuestos!$B$54+Supuestos!$B$9*Supuestos!$B$55</f>
        <v>373.74</v>
      </c>
      <c r="D29" s="15" t="n">
        <f aca="false">C29</f>
        <v>373.74</v>
      </c>
      <c r="E29" s="5" t="s">
        <v>128</v>
      </c>
      <c r="F29" s="19" t="s">
        <v>266</v>
      </c>
    </row>
    <row r="30" customFormat="false" ht="15" hidden="false" customHeight="true" outlineLevel="0" collapsed="false">
      <c r="A30" s="19" t="s">
        <v>267</v>
      </c>
      <c r="B30" s="19" t="s">
        <v>268</v>
      </c>
      <c r="C30" s="15" t="n">
        <f aca="false">Supuestos!$B$56*Supuestos!$B$7+Supuestos!$B$20*Supuestos!$B$57*Supuestos!$B$7</f>
        <v>308.425</v>
      </c>
      <c r="D30" s="15" t="n">
        <f aca="false">C30</f>
        <v>308.425</v>
      </c>
      <c r="E30" s="9" t="s">
        <v>52</v>
      </c>
      <c r="F30" s="19" t="s">
        <v>269</v>
      </c>
    </row>
    <row r="31" customFormat="false" ht="15" hidden="false" customHeight="true" outlineLevel="0" collapsed="false">
      <c r="A31" s="13" t="s">
        <v>270</v>
      </c>
      <c r="C31" s="31" t="n">
        <f aca="false">SUM(C26:C30)</f>
        <v>2009.5114</v>
      </c>
      <c r="D31" s="31" t="n">
        <f aca="false">SUM(D26:D30)</f>
        <v>2009.5114</v>
      </c>
    </row>
    <row r="32" customFormat="false" ht="15" hidden="false" customHeight="true" outlineLevel="0" collapsed="false">
      <c r="A32" s="7" t="s">
        <v>11</v>
      </c>
      <c r="B32" s="32"/>
      <c r="C32" s="33" t="n">
        <f aca="false">C12+C17+C24+C31</f>
        <v>13401.646</v>
      </c>
      <c r="D32" s="33" t="n">
        <f aca="false">D12+D17+D24+D31</f>
        <v>9097.126</v>
      </c>
      <c r="E32" s="32"/>
      <c r="F32" s="32"/>
    </row>
    <row r="34" customFormat="false" ht="15" hidden="false" customHeight="true" outlineLevel="0" collapsed="false">
      <c r="A34" s="10" t="s">
        <v>271</v>
      </c>
      <c r="B34" s="11"/>
      <c r="C34" s="11"/>
      <c r="D34" s="11"/>
      <c r="E34" s="11"/>
      <c r="F34" s="11"/>
    </row>
    <row r="35" customFormat="false" ht="15" hidden="false" customHeight="true" outlineLevel="0" collapsed="false">
      <c r="A35" s="19" t="s">
        <v>272</v>
      </c>
      <c r="B35" s="19" t="s">
        <v>273</v>
      </c>
      <c r="C35" s="15" t="n">
        <f aca="false">Supuestos!$B$34+Supuestos!$B$13*Supuestos!$B$37</f>
        <v>1370.155</v>
      </c>
      <c r="D35" s="15" t="n">
        <f aca="false">Supuestos!$B$35+Supuestos!$B$13*Supuestos!$B$37</f>
        <v>765.155</v>
      </c>
      <c r="E35" s="5" t="s">
        <v>107</v>
      </c>
      <c r="F35" s="19" t="s">
        <v>274</v>
      </c>
    </row>
    <row r="36" customFormat="false" ht="15" hidden="false" customHeight="true" outlineLevel="0" collapsed="false">
      <c r="A36" s="13" t="s">
        <v>275</v>
      </c>
      <c r="C36" s="31" t="n">
        <f aca="false">SUM(C35:C35)</f>
        <v>1370.155</v>
      </c>
      <c r="D36" s="31" t="n">
        <f aca="false">SUM(D35:D35)</f>
        <v>765.155</v>
      </c>
    </row>
    <row r="37" customFormat="false" ht="15" hidden="false" customHeight="true" outlineLevel="0" collapsed="false">
      <c r="A37" s="7" t="s">
        <v>276</v>
      </c>
      <c r="B37" s="32"/>
      <c r="C37" s="33" t="n">
        <f aca="false">C32+C36</f>
        <v>14771.801</v>
      </c>
      <c r="D37" s="33" t="n">
        <f aca="false">D32+D36</f>
        <v>9862.281</v>
      </c>
      <c r="E37" s="32"/>
      <c r="F37" s="32"/>
    </row>
    <row r="39" customFormat="false" ht="15" hidden="false" customHeight="true" outlineLevel="0" collapsed="false">
      <c r="A39" s="10" t="s">
        <v>277</v>
      </c>
      <c r="B39" s="11"/>
      <c r="C39" s="11"/>
      <c r="D39" s="11"/>
      <c r="E39" s="11"/>
      <c r="F39" s="11"/>
    </row>
    <row r="40" customFormat="false" ht="15" hidden="false" customHeight="true" outlineLevel="0" collapsed="false">
      <c r="A40" s="19" t="s">
        <v>278</v>
      </c>
      <c r="B40" s="19" t="s">
        <v>279</v>
      </c>
      <c r="C40" s="15" t="n">
        <f aca="false">Supuestos!$B$22*Supuestos!$B$59*Supuestos!$B$7</f>
        <v>599.33</v>
      </c>
      <c r="D40" s="15" t="n">
        <f aca="false">Supuestos!$B$22*Supuestos!$B$59*Supuestos!$B$7*(1-Supuestos!$B$60)</f>
        <v>407.5444</v>
      </c>
      <c r="E40" s="5" t="s">
        <v>107</v>
      </c>
      <c r="F40" s="19" t="s">
        <v>280</v>
      </c>
    </row>
    <row r="41" customFormat="false" ht="15" hidden="false" customHeight="true" outlineLevel="0" collapsed="false">
      <c r="A41" s="13" t="s">
        <v>281</v>
      </c>
      <c r="C41" s="31" t="n">
        <f aca="false">SUM(C40:C40)</f>
        <v>599.33</v>
      </c>
      <c r="D41" s="31" t="n">
        <f aca="false">SUM(D40:D40)</f>
        <v>407.5444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52"/>
    <col collapsed="false" customWidth="true" hidden="false" outlineLevel="0" max="3" min="3" style="1" width="17"/>
    <col collapsed="false" customWidth="true" hidden="false" outlineLevel="0" max="4" min="4" style="1" width="19"/>
    <col collapsed="false" customWidth="true" hidden="false" outlineLevel="0" max="5" min="5" style="1" width="13"/>
    <col collapsed="false" customWidth="true" hidden="false" outlineLevel="0" max="6" min="6" style="1" width="80"/>
  </cols>
  <sheetData>
    <row r="1" customFormat="false" ht="15.75" hidden="false" customHeight="true" outlineLevel="0" collapsed="false">
      <c r="A1" s="2" t="s">
        <v>282</v>
      </c>
    </row>
    <row r="2" customFormat="false" ht="15" hidden="false" customHeight="true" outlineLevel="0" collapsed="false">
      <c r="A2" s="3" t="s">
        <v>215</v>
      </c>
    </row>
    <row r="4" customFormat="false" ht="23.25" hidden="false" customHeight="true" outlineLevel="0" collapsed="false">
      <c r="A4" s="4" t="s">
        <v>216</v>
      </c>
      <c r="B4" s="4" t="s">
        <v>217</v>
      </c>
      <c r="C4" s="4" t="s">
        <v>218</v>
      </c>
      <c r="D4" s="4" t="s">
        <v>219</v>
      </c>
      <c r="E4" s="4" t="s">
        <v>40</v>
      </c>
      <c r="F4" s="4" t="s">
        <v>220</v>
      </c>
    </row>
    <row r="5" customFormat="false" ht="15" hidden="false" customHeight="true" outlineLevel="0" collapsed="false">
      <c r="A5" s="10" t="s">
        <v>283</v>
      </c>
      <c r="B5" s="11"/>
      <c r="C5" s="11"/>
      <c r="D5" s="11"/>
      <c r="E5" s="11"/>
      <c r="F5" s="11"/>
    </row>
    <row r="6" customFormat="false" ht="15" hidden="false" customHeight="true" outlineLevel="0" collapsed="false">
      <c r="A6" s="19" t="s">
        <v>284</v>
      </c>
      <c r="B6" s="19" t="s">
        <v>285</v>
      </c>
      <c r="C6" s="15" t="n">
        <f aca="false">Supuestos!$B$62*Supuestos!$B$66</f>
        <v>5840</v>
      </c>
      <c r="D6" s="15" t="n">
        <f aca="false">Supuestos!$B$63*Supuestos!$B$66</f>
        <v>3504</v>
      </c>
      <c r="E6" s="5" t="s">
        <v>101</v>
      </c>
      <c r="F6" s="19" t="s">
        <v>286</v>
      </c>
    </row>
    <row r="7" customFormat="false" ht="15" hidden="false" customHeight="true" outlineLevel="0" collapsed="false">
      <c r="A7" s="19" t="s">
        <v>287</v>
      </c>
      <c r="B7" s="19" t="s">
        <v>288</v>
      </c>
      <c r="C7" s="15" t="n">
        <f aca="false">Supuestos!$B$14*Supuestos!$B$64</f>
        <v>2920</v>
      </c>
      <c r="D7" s="15" t="n">
        <f aca="false">Supuestos!$B$14*Supuestos!$B$65</f>
        <v>1752</v>
      </c>
      <c r="E7" s="5" t="s">
        <v>107</v>
      </c>
      <c r="F7" s="19"/>
    </row>
    <row r="8" customFormat="false" ht="15" hidden="false" customHeight="true" outlineLevel="0" collapsed="false">
      <c r="A8" s="19" t="s">
        <v>289</v>
      </c>
      <c r="B8" s="19" t="s">
        <v>250</v>
      </c>
      <c r="C8" s="15" t="n">
        <f aca="false">Supuestos!$B$13*Supuestos!$B$67</f>
        <v>57.155</v>
      </c>
      <c r="D8" s="15" t="n">
        <f aca="false">C8</f>
        <v>57.155</v>
      </c>
      <c r="E8" s="9" t="s">
        <v>52</v>
      </c>
      <c r="F8" s="19" t="s">
        <v>290</v>
      </c>
    </row>
    <row r="9" customFormat="false" ht="15" hidden="false" customHeight="true" outlineLevel="0" collapsed="false">
      <c r="A9" s="19" t="s">
        <v>291</v>
      </c>
      <c r="B9" s="19" t="s">
        <v>231</v>
      </c>
      <c r="C9" s="15" t="n">
        <f aca="false">Supuestos!$B$14*Supuestos!$B$13*Supuestos!$B$67</f>
        <v>114.31</v>
      </c>
      <c r="D9" s="15" t="n">
        <f aca="false">C9</f>
        <v>114.31</v>
      </c>
      <c r="E9" s="9" t="s">
        <v>52</v>
      </c>
      <c r="F9" s="19"/>
    </row>
    <row r="10" customFormat="false" ht="15" hidden="false" customHeight="true" outlineLevel="0" collapsed="false">
      <c r="A10" s="19" t="s">
        <v>292</v>
      </c>
      <c r="B10" s="19" t="s">
        <v>293</v>
      </c>
      <c r="C10" s="15" t="n">
        <f aca="false">0</f>
        <v>0</v>
      </c>
      <c r="D10" s="15" t="n">
        <f aca="false">C10</f>
        <v>0</v>
      </c>
      <c r="E10" s="9" t="s">
        <v>15</v>
      </c>
      <c r="F10" s="19" t="s">
        <v>294</v>
      </c>
    </row>
    <row r="11" customFormat="false" ht="15" hidden="false" customHeight="true" outlineLevel="0" collapsed="false">
      <c r="A11" s="19" t="s">
        <v>235</v>
      </c>
      <c r="B11" s="19" t="s">
        <v>236</v>
      </c>
      <c r="C11" s="15" t="n">
        <f aca="false">Supuestos!$B$15*Supuestos!$B$68</f>
        <v>97.28</v>
      </c>
      <c r="D11" s="15" t="n">
        <f aca="false">C11</f>
        <v>97.28</v>
      </c>
      <c r="E11" s="9" t="s">
        <v>52</v>
      </c>
      <c r="F11" s="19"/>
    </row>
    <row r="12" customFormat="false" ht="15" hidden="false" customHeight="true" outlineLevel="0" collapsed="false">
      <c r="A12" s="13" t="s">
        <v>238</v>
      </c>
      <c r="C12" s="31" t="n">
        <f aca="false">SUM(C6:C11)</f>
        <v>9028.745</v>
      </c>
      <c r="D12" s="31" t="n">
        <f aca="false">SUM(D6:D11)</f>
        <v>5524.745</v>
      </c>
    </row>
    <row r="13" customFormat="false" ht="15" hidden="false" customHeight="true" outlineLevel="0" collapsed="false">
      <c r="A13" s="10" t="s">
        <v>295</v>
      </c>
      <c r="B13" s="11"/>
      <c r="C13" s="11"/>
      <c r="D13" s="11"/>
      <c r="E13" s="11"/>
      <c r="F13" s="11"/>
    </row>
    <row r="14" customFormat="false" ht="15" hidden="false" customHeight="true" outlineLevel="0" collapsed="false">
      <c r="A14" s="19" t="s">
        <v>296</v>
      </c>
      <c r="B14" s="19" t="s">
        <v>241</v>
      </c>
      <c r="C14" s="15" t="n">
        <f aca="false">Supuestos!$B$71*Supuestos!$B$7</f>
        <v>73</v>
      </c>
      <c r="D14" s="15" t="n">
        <f aca="false">C14</f>
        <v>73</v>
      </c>
      <c r="E14" s="9" t="s">
        <v>52</v>
      </c>
      <c r="F14" s="19" t="s">
        <v>297</v>
      </c>
    </row>
    <row r="15" customFormat="false" ht="15" hidden="false" customHeight="true" outlineLevel="0" collapsed="false">
      <c r="A15" s="19" t="s">
        <v>298</v>
      </c>
      <c r="B15" s="19" t="s">
        <v>243</v>
      </c>
      <c r="C15" s="15" t="n">
        <f aca="false">Supuestos!$B$17*Supuestos!$B$7*Supuestos!$B$69</f>
        <v>2242.56</v>
      </c>
      <c r="D15" s="15" t="n">
        <f aca="false">Supuestos!$B$17*Supuestos!$B$7*Supuestos!$B$70</f>
        <v>1384.08</v>
      </c>
      <c r="E15" s="5" t="s">
        <v>101</v>
      </c>
      <c r="F15" s="19" t="s">
        <v>244</v>
      </c>
    </row>
    <row r="16" customFormat="false" ht="15" hidden="false" customHeight="true" outlineLevel="0" collapsed="false">
      <c r="A16" s="19" t="s">
        <v>245</v>
      </c>
      <c r="B16" s="19" t="s">
        <v>246</v>
      </c>
      <c r="C16" s="15" t="n">
        <f aca="false">Supuestos!$B$18*Supuestos!$B$19*Supuestos!$B$69</f>
        <v>110.592</v>
      </c>
      <c r="D16" s="15" t="n">
        <f aca="false">C16</f>
        <v>110.592</v>
      </c>
      <c r="E16" s="5" t="s">
        <v>101</v>
      </c>
      <c r="F16" s="19"/>
    </row>
    <row r="17" customFormat="false" ht="15" hidden="false" customHeight="true" outlineLevel="0" collapsed="false">
      <c r="A17" s="13" t="s">
        <v>247</v>
      </c>
      <c r="C17" s="31" t="n">
        <f aca="false">SUM(C14:C16)</f>
        <v>2426.152</v>
      </c>
      <c r="D17" s="31" t="n">
        <f aca="false">SUM(D14:D16)</f>
        <v>1567.672</v>
      </c>
    </row>
    <row r="18" customFormat="false" ht="15" hidden="false" customHeight="true" outlineLevel="0" collapsed="false">
      <c r="A18" s="10" t="s">
        <v>299</v>
      </c>
      <c r="B18" s="11"/>
      <c r="C18" s="11"/>
      <c r="D18" s="11"/>
      <c r="E18" s="11"/>
      <c r="F18" s="11"/>
    </row>
    <row r="19" customFormat="false" ht="15" hidden="false" customHeight="true" outlineLevel="0" collapsed="false">
      <c r="A19" s="19" t="s">
        <v>300</v>
      </c>
      <c r="B19" s="19" t="s">
        <v>250</v>
      </c>
      <c r="C19" s="15" t="n">
        <f aca="false">Supuestos!$B$23*Supuestos!$B$72</f>
        <v>0.8944</v>
      </c>
      <c r="D19" s="15" t="n">
        <f aca="false">C19</f>
        <v>0.8944</v>
      </c>
      <c r="E19" s="5" t="s">
        <v>101</v>
      </c>
      <c r="F19" s="19"/>
    </row>
    <row r="20" customFormat="false" ht="15" hidden="false" customHeight="true" outlineLevel="0" collapsed="false">
      <c r="A20" s="19" t="s">
        <v>301</v>
      </c>
      <c r="B20" s="19" t="s">
        <v>250</v>
      </c>
      <c r="C20" s="15" t="n">
        <f aca="false">Supuestos!$B$24*Supuestos!$B$73</f>
        <v>0.02574</v>
      </c>
      <c r="D20" s="15" t="n">
        <f aca="false">C20</f>
        <v>0.02574</v>
      </c>
      <c r="E20" s="5" t="s">
        <v>101</v>
      </c>
      <c r="F20" s="19"/>
    </row>
    <row r="21" customFormat="false" ht="15" hidden="false" customHeight="true" outlineLevel="0" collapsed="false">
      <c r="A21" s="19" t="s">
        <v>302</v>
      </c>
      <c r="B21" s="19" t="s">
        <v>261</v>
      </c>
      <c r="C21" s="15" t="n">
        <f aca="false">Supuestos!$B$25*100*Supuestos!$B$74</f>
        <v>325</v>
      </c>
      <c r="D21" s="15" t="n">
        <f aca="false">C21</f>
        <v>325</v>
      </c>
      <c r="E21" s="9" t="s">
        <v>104</v>
      </c>
      <c r="F21" s="19"/>
    </row>
    <row r="22" customFormat="false" ht="15" hidden="false" customHeight="true" outlineLevel="0" collapsed="false">
      <c r="A22" s="19" t="s">
        <v>303</v>
      </c>
      <c r="B22" s="19" t="s">
        <v>261</v>
      </c>
      <c r="C22" s="15" t="n">
        <f aca="false">Supuestos!$B$26*100*Supuestos!$B$75</f>
        <v>65</v>
      </c>
      <c r="D22" s="15" t="n">
        <f aca="false">C22</f>
        <v>65</v>
      </c>
      <c r="E22" s="9" t="s">
        <v>104</v>
      </c>
      <c r="F22" s="19"/>
    </row>
    <row r="23" customFormat="false" ht="15" hidden="false" customHeight="true" outlineLevel="0" collapsed="false">
      <c r="A23" s="19" t="s">
        <v>255</v>
      </c>
      <c r="B23" s="19" t="s">
        <v>250</v>
      </c>
      <c r="C23" s="15" t="n">
        <f aca="false">Supuestos!$B$27*Supuestos!$B$76</f>
        <v>2</v>
      </c>
      <c r="D23" s="15" t="n">
        <f aca="false">C23</f>
        <v>2</v>
      </c>
      <c r="E23" s="9" t="s">
        <v>104</v>
      </c>
      <c r="F23" s="19" t="s">
        <v>304</v>
      </c>
    </row>
    <row r="24" customFormat="false" ht="15" hidden="false" customHeight="true" outlineLevel="0" collapsed="false">
      <c r="A24" s="13" t="s">
        <v>257</v>
      </c>
      <c r="C24" s="31" t="n">
        <f aca="false">SUM(C19:C23)</f>
        <v>392.92014</v>
      </c>
      <c r="D24" s="31" t="n">
        <f aca="false">SUM(D19:D23)</f>
        <v>392.92014</v>
      </c>
    </row>
    <row r="25" customFormat="false" ht="15" hidden="false" customHeight="true" outlineLevel="0" collapsed="false">
      <c r="A25" s="10" t="s">
        <v>10</v>
      </c>
      <c r="B25" s="11"/>
      <c r="C25" s="11"/>
      <c r="D25" s="11"/>
      <c r="E25" s="11"/>
      <c r="F25" s="11"/>
    </row>
    <row r="26" customFormat="false" ht="15" hidden="false" customHeight="true" outlineLevel="0" collapsed="false">
      <c r="A26" s="19" t="s">
        <v>200</v>
      </c>
      <c r="B26" s="19" t="s">
        <v>305</v>
      </c>
      <c r="C26" s="15" t="n">
        <f aca="false">Supuestos!$B$77</f>
        <v>330</v>
      </c>
      <c r="D26" s="15" t="n">
        <f aca="false">C26</f>
        <v>330</v>
      </c>
      <c r="E26" s="5" t="s">
        <v>128</v>
      </c>
      <c r="F26" s="19"/>
    </row>
    <row r="27" customFormat="false" ht="15" hidden="false" customHeight="true" outlineLevel="0" collapsed="false">
      <c r="A27" s="19" t="s">
        <v>306</v>
      </c>
      <c r="B27" s="19" t="s">
        <v>261</v>
      </c>
      <c r="C27" s="15" t="n">
        <f aca="false">Supuestos!$B$9*100*Supuestos!$B$78</f>
        <v>896.85</v>
      </c>
      <c r="D27" s="15" t="n">
        <f aca="false">C27</f>
        <v>896.85</v>
      </c>
      <c r="E27" s="9" t="s">
        <v>104</v>
      </c>
      <c r="F27" s="19" t="s">
        <v>307</v>
      </c>
    </row>
    <row r="28" customFormat="false" ht="15" hidden="false" customHeight="true" outlineLevel="0" collapsed="false">
      <c r="A28" s="19" t="s">
        <v>308</v>
      </c>
      <c r="B28" s="19" t="s">
        <v>259</v>
      </c>
      <c r="C28" s="15" t="n">
        <f aca="false">MIN(Supuestos!$B$10,Supuestos!$B$81)*Supuestos!$B$8*Supuestos!$B$79+MAX(0,Supuestos!$B$10-Supuestos!$B$81)*Supuestos!$B$8*Supuestos!$B$80</f>
        <v>672.28672</v>
      </c>
      <c r="D28" s="15" t="n">
        <f aca="false">C28</f>
        <v>672.28672</v>
      </c>
      <c r="E28" s="5" t="s">
        <v>101</v>
      </c>
      <c r="F28" s="19"/>
    </row>
    <row r="29" customFormat="false" ht="15" hidden="false" customHeight="true" outlineLevel="0" collapsed="false">
      <c r="A29" s="19" t="s">
        <v>309</v>
      </c>
      <c r="B29" s="19" t="s">
        <v>263</v>
      </c>
      <c r="C29" s="15" t="n">
        <f aca="false">Supuestos!$B$11*Supuestos!$B$8*Supuestos!$B$82</f>
        <v>40.96</v>
      </c>
      <c r="D29" s="15" t="n">
        <f aca="false">C29</f>
        <v>40.96</v>
      </c>
      <c r="E29" s="5" t="s">
        <v>101</v>
      </c>
      <c r="F29" s="19"/>
    </row>
    <row r="30" customFormat="false" ht="23.25" hidden="false" customHeight="true" outlineLevel="0" collapsed="false">
      <c r="A30" s="19" t="s">
        <v>310</v>
      </c>
      <c r="B30" s="19" t="s">
        <v>311</v>
      </c>
      <c r="C30" s="15" t="n">
        <f aca="false">0</f>
        <v>0</v>
      </c>
      <c r="D30" s="15" t="n">
        <f aca="false">C30</f>
        <v>0</v>
      </c>
      <c r="E30" s="5" t="s">
        <v>128</v>
      </c>
      <c r="F30" s="19" t="s">
        <v>312</v>
      </c>
    </row>
    <row r="31" customFormat="false" ht="15" hidden="false" customHeight="true" outlineLevel="0" collapsed="false">
      <c r="A31" s="19" t="s">
        <v>313</v>
      </c>
      <c r="B31" s="19" t="s">
        <v>314</v>
      </c>
      <c r="C31" s="15" t="n">
        <f aca="false">Supuestos!$B$83*Supuestos!$B$7+Supuestos!$B$28*Supuestos!$B$84</f>
        <v>43.85</v>
      </c>
      <c r="D31" s="15" t="n">
        <f aca="false">C31</f>
        <v>43.85</v>
      </c>
      <c r="E31" s="9" t="s">
        <v>104</v>
      </c>
      <c r="F31" s="19" t="s">
        <v>315</v>
      </c>
    </row>
    <row r="32" customFormat="false" ht="15" hidden="false" customHeight="true" outlineLevel="0" collapsed="false">
      <c r="A32" s="13" t="s">
        <v>270</v>
      </c>
      <c r="C32" s="31" t="n">
        <f aca="false">SUM(C26:C31)</f>
        <v>1983.94672</v>
      </c>
      <c r="D32" s="31" t="n">
        <f aca="false">SUM(D26:D31)</f>
        <v>1983.94672</v>
      </c>
    </row>
    <row r="33" customFormat="false" ht="15" hidden="false" customHeight="true" outlineLevel="0" collapsed="false">
      <c r="A33" s="7" t="s">
        <v>11</v>
      </c>
      <c r="B33" s="32"/>
      <c r="C33" s="33" t="n">
        <f aca="false">C12+C17+C24+C32</f>
        <v>13831.76386</v>
      </c>
      <c r="D33" s="33" t="n">
        <f aca="false">D12+D17+D24+D32</f>
        <v>9469.28386</v>
      </c>
      <c r="E33" s="32"/>
      <c r="F33" s="32"/>
    </row>
    <row r="35" customFormat="false" ht="15" hidden="false" customHeight="true" outlineLevel="0" collapsed="false">
      <c r="A35" s="10" t="s">
        <v>316</v>
      </c>
      <c r="B35" s="11"/>
      <c r="C35" s="11"/>
      <c r="D35" s="11"/>
      <c r="E35" s="11"/>
      <c r="F35" s="11"/>
    </row>
    <row r="36" customFormat="false" ht="15" hidden="false" customHeight="true" outlineLevel="0" collapsed="false">
      <c r="A36" s="19" t="s">
        <v>317</v>
      </c>
      <c r="B36" s="19" t="s">
        <v>318</v>
      </c>
      <c r="C36" s="15" t="n">
        <f aca="false">Supuestos!$B$64+Supuestos!$B$13*Supuestos!$B$67</f>
        <v>1517.155</v>
      </c>
      <c r="D36" s="15" t="n">
        <f aca="false">Supuestos!$B$65+Supuestos!$B$13*Supuestos!$B$67</f>
        <v>933.155</v>
      </c>
      <c r="E36" s="5" t="s">
        <v>107</v>
      </c>
      <c r="F36" s="19" t="s">
        <v>274</v>
      </c>
    </row>
    <row r="37" customFormat="false" ht="15" hidden="false" customHeight="true" outlineLevel="0" collapsed="false">
      <c r="A37" s="13" t="s">
        <v>275</v>
      </c>
      <c r="C37" s="31" t="n">
        <f aca="false">SUM(C36:C36)</f>
        <v>1517.155</v>
      </c>
      <c r="D37" s="31" t="n">
        <f aca="false">SUM(D36:D36)</f>
        <v>933.155</v>
      </c>
    </row>
    <row r="38" customFormat="false" ht="15" hidden="false" customHeight="true" outlineLevel="0" collapsed="false">
      <c r="A38" s="7" t="s">
        <v>276</v>
      </c>
      <c r="B38" s="32"/>
      <c r="C38" s="33" t="n">
        <f aca="false">C33+C37</f>
        <v>15348.91886</v>
      </c>
      <c r="D38" s="33" t="n">
        <f aca="false">D33+D37</f>
        <v>10402.43886</v>
      </c>
      <c r="E38" s="32"/>
      <c r="F38" s="32"/>
    </row>
    <row r="40" customFormat="false" ht="15" hidden="false" customHeight="true" outlineLevel="0" collapsed="false">
      <c r="A40" s="10" t="s">
        <v>319</v>
      </c>
      <c r="B40" s="11"/>
      <c r="C40" s="11"/>
      <c r="D40" s="11"/>
      <c r="E40" s="11"/>
      <c r="F40" s="11"/>
    </row>
    <row r="41" customFormat="false" ht="15" hidden="false" customHeight="true" outlineLevel="0" collapsed="false">
      <c r="A41" s="19" t="s">
        <v>320</v>
      </c>
      <c r="B41" s="19" t="s">
        <v>321</v>
      </c>
      <c r="C41" s="15" t="n">
        <f aca="false">0</f>
        <v>0</v>
      </c>
      <c r="D41" s="15" t="n">
        <f aca="false">C41</f>
        <v>0</v>
      </c>
      <c r="E41" s="9" t="s">
        <v>15</v>
      </c>
      <c r="F41" s="19" t="s">
        <v>322</v>
      </c>
    </row>
    <row r="42" customFormat="false" ht="15" hidden="false" customHeight="true" outlineLevel="0" collapsed="false">
      <c r="A42" s="13" t="s">
        <v>281</v>
      </c>
      <c r="C42" s="31" t="n">
        <f aca="false">SUM(C41:C41)</f>
        <v>0</v>
      </c>
      <c r="D42" s="31" t="n">
        <f aca="false">SUM(D41:D41)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2"/>
    <col collapsed="false" customWidth="true" hidden="false" outlineLevel="0" max="3" min="3" style="1" width="110"/>
    <col collapsed="false" customWidth="true" hidden="false" outlineLevel="0" max="4" min="4" style="1" width="10"/>
    <col collapsed="false" customWidth="true" hidden="false" outlineLevel="0" max="5" min="5" style="1" width="12"/>
  </cols>
  <sheetData>
    <row r="1" customFormat="false" ht="15" hidden="false" customHeight="true" outlineLevel="0" collapsed="false">
      <c r="A1" s="18" t="s">
        <v>323</v>
      </c>
      <c r="B1" s="18" t="s">
        <v>324</v>
      </c>
      <c r="C1" s="18" t="s">
        <v>325</v>
      </c>
      <c r="D1" s="18" t="s">
        <v>326</v>
      </c>
      <c r="E1" s="18" t="s">
        <v>327</v>
      </c>
    </row>
    <row r="2" customFormat="false" ht="15" hidden="false" customHeight="true" outlineLevel="0" collapsed="false">
      <c r="A2" s="5" t="s">
        <v>328</v>
      </c>
      <c r="B2" s="5" t="s">
        <v>329</v>
      </c>
      <c r="C2" s="5" t="s">
        <v>330</v>
      </c>
      <c r="D2" s="5" t="s">
        <v>128</v>
      </c>
      <c r="E2" s="5"/>
    </row>
    <row r="3" customFormat="false" ht="15" hidden="false" customHeight="true" outlineLevel="0" collapsed="false">
      <c r="A3" s="5" t="s">
        <v>328</v>
      </c>
      <c r="B3" s="5" t="s">
        <v>331</v>
      </c>
      <c r="C3" s="5" t="s">
        <v>332</v>
      </c>
      <c r="D3" s="5" t="s">
        <v>128</v>
      </c>
      <c r="E3" s="5" t="s">
        <v>333</v>
      </c>
    </row>
    <row r="4" customFormat="false" ht="15" hidden="false" customHeight="true" outlineLevel="0" collapsed="false">
      <c r="A4" s="5" t="s">
        <v>328</v>
      </c>
      <c r="B4" s="5" t="s">
        <v>334</v>
      </c>
      <c r="C4" s="5" t="s">
        <v>335</v>
      </c>
      <c r="D4" s="5" t="s">
        <v>101</v>
      </c>
      <c r="E4" s="5" t="s">
        <v>333</v>
      </c>
    </row>
    <row r="5" customFormat="false" ht="15" hidden="false" customHeight="true" outlineLevel="0" collapsed="false">
      <c r="A5" s="5" t="s">
        <v>328</v>
      </c>
      <c r="B5" s="5" t="s">
        <v>336</v>
      </c>
      <c r="C5" s="5" t="s">
        <v>337</v>
      </c>
      <c r="D5" s="5" t="s">
        <v>101</v>
      </c>
      <c r="E5" s="5" t="s">
        <v>333</v>
      </c>
    </row>
    <row r="6" customFormat="false" ht="15" hidden="false" customHeight="true" outlineLevel="0" collapsed="false">
      <c r="A6" s="5" t="s">
        <v>328</v>
      </c>
      <c r="B6" s="5" t="s">
        <v>338</v>
      </c>
      <c r="C6" s="5" t="s">
        <v>339</v>
      </c>
      <c r="D6" s="5" t="s">
        <v>101</v>
      </c>
      <c r="E6" s="5" t="s">
        <v>333</v>
      </c>
    </row>
    <row r="7" customFormat="false" ht="15" hidden="false" customHeight="true" outlineLevel="0" collapsed="false">
      <c r="A7" s="5" t="s">
        <v>328</v>
      </c>
      <c r="B7" s="5" t="s">
        <v>340</v>
      </c>
      <c r="C7" s="5" t="s">
        <v>341</v>
      </c>
      <c r="D7" s="5" t="s">
        <v>101</v>
      </c>
      <c r="E7" s="5" t="s">
        <v>333</v>
      </c>
    </row>
    <row r="8" customFormat="false" ht="15" hidden="false" customHeight="true" outlineLevel="0" collapsed="false">
      <c r="A8" s="5" t="s">
        <v>328</v>
      </c>
      <c r="B8" s="5" t="s">
        <v>342</v>
      </c>
      <c r="C8" s="5" t="s">
        <v>343</v>
      </c>
      <c r="D8" s="5" t="s">
        <v>101</v>
      </c>
      <c r="E8" s="5" t="s">
        <v>333</v>
      </c>
    </row>
    <row r="9" customFormat="false" ht="15" hidden="false" customHeight="true" outlineLevel="0" collapsed="false">
      <c r="A9" s="5" t="s">
        <v>328</v>
      </c>
      <c r="B9" s="5" t="s">
        <v>344</v>
      </c>
      <c r="C9" s="5" t="s">
        <v>345</v>
      </c>
      <c r="D9" s="5" t="s">
        <v>101</v>
      </c>
      <c r="E9" s="5" t="s">
        <v>333</v>
      </c>
    </row>
    <row r="10" customFormat="false" ht="15" hidden="false" customHeight="true" outlineLevel="0" collapsed="false">
      <c r="A10" s="5" t="s">
        <v>328</v>
      </c>
      <c r="B10" s="5" t="s">
        <v>346</v>
      </c>
      <c r="C10" s="5" t="s">
        <v>347</v>
      </c>
      <c r="D10" s="5" t="s">
        <v>101</v>
      </c>
      <c r="E10" s="5" t="s">
        <v>333</v>
      </c>
    </row>
    <row r="11" customFormat="false" ht="15" hidden="false" customHeight="true" outlineLevel="0" collapsed="false">
      <c r="A11" s="5" t="s">
        <v>328</v>
      </c>
      <c r="B11" s="5" t="s">
        <v>240</v>
      </c>
      <c r="C11" s="5" t="s">
        <v>348</v>
      </c>
      <c r="D11" s="5" t="s">
        <v>128</v>
      </c>
      <c r="E11" s="5" t="s">
        <v>333</v>
      </c>
    </row>
    <row r="12" customFormat="false" ht="15" hidden="false" customHeight="true" outlineLevel="0" collapsed="false">
      <c r="A12" s="5" t="s">
        <v>328</v>
      </c>
      <c r="B12" s="5" t="s">
        <v>349</v>
      </c>
      <c r="C12" s="5" t="s">
        <v>350</v>
      </c>
      <c r="D12" s="5" t="s">
        <v>101</v>
      </c>
      <c r="E12" s="5" t="s">
        <v>333</v>
      </c>
    </row>
    <row r="13" customFormat="false" ht="15" hidden="false" customHeight="true" outlineLevel="0" collapsed="false">
      <c r="A13" s="5" t="s">
        <v>328</v>
      </c>
      <c r="B13" s="5" t="s">
        <v>351</v>
      </c>
      <c r="C13" s="5" t="s">
        <v>352</v>
      </c>
      <c r="D13" s="5" t="s">
        <v>101</v>
      </c>
      <c r="E13" s="5" t="s">
        <v>333</v>
      </c>
    </row>
    <row r="14" customFormat="false" ht="15" hidden="false" customHeight="true" outlineLevel="0" collapsed="false">
      <c r="A14" s="5" t="s">
        <v>328</v>
      </c>
      <c r="B14" s="5" t="s">
        <v>353</v>
      </c>
      <c r="C14" s="5" t="s">
        <v>354</v>
      </c>
      <c r="D14" s="5" t="s">
        <v>101</v>
      </c>
      <c r="E14" s="5" t="s">
        <v>333</v>
      </c>
    </row>
    <row r="15" customFormat="false" ht="15" hidden="false" customHeight="true" outlineLevel="0" collapsed="false">
      <c r="A15" s="5" t="s">
        <v>328</v>
      </c>
      <c r="B15" s="5" t="s">
        <v>355</v>
      </c>
      <c r="C15" s="5" t="s">
        <v>356</v>
      </c>
      <c r="D15" s="5" t="s">
        <v>101</v>
      </c>
      <c r="E15" s="5" t="s">
        <v>333</v>
      </c>
    </row>
    <row r="16" customFormat="false" ht="15" hidden="false" customHeight="true" outlineLevel="0" collapsed="false">
      <c r="A16" s="5" t="s">
        <v>328</v>
      </c>
      <c r="B16" s="5" t="s">
        <v>264</v>
      </c>
      <c r="C16" s="5" t="s">
        <v>357</v>
      </c>
      <c r="D16" s="5" t="s">
        <v>128</v>
      </c>
      <c r="E16" s="5" t="s">
        <v>333</v>
      </c>
    </row>
    <row r="17" customFormat="false" ht="15" hidden="false" customHeight="true" outlineLevel="0" collapsed="false">
      <c r="A17" s="5" t="s">
        <v>328</v>
      </c>
      <c r="B17" s="5" t="s">
        <v>358</v>
      </c>
      <c r="C17" s="5" t="s">
        <v>359</v>
      </c>
      <c r="D17" s="5" t="s">
        <v>128</v>
      </c>
      <c r="E17" s="5" t="s">
        <v>333</v>
      </c>
    </row>
    <row r="18" customFormat="false" ht="15" hidden="false" customHeight="true" outlineLevel="0" collapsed="false">
      <c r="A18" s="5" t="s">
        <v>328</v>
      </c>
      <c r="B18" s="5" t="s">
        <v>360</v>
      </c>
      <c r="C18" s="5" t="s">
        <v>361</v>
      </c>
      <c r="D18" s="5" t="s">
        <v>101</v>
      </c>
      <c r="E18" s="5" t="s">
        <v>333</v>
      </c>
    </row>
    <row r="19" customFormat="false" ht="15" hidden="false" customHeight="true" outlineLevel="0" collapsed="false">
      <c r="A19" s="5" t="s">
        <v>328</v>
      </c>
      <c r="B19" s="5" t="s">
        <v>362</v>
      </c>
      <c r="C19" s="5" t="s">
        <v>363</v>
      </c>
      <c r="D19" s="5" t="s">
        <v>101</v>
      </c>
      <c r="E19" s="5" t="s">
        <v>333</v>
      </c>
    </row>
    <row r="20" customFormat="false" ht="15" hidden="false" customHeight="true" outlineLevel="0" collapsed="false">
      <c r="A20" s="5" t="s">
        <v>364</v>
      </c>
      <c r="B20" s="5" t="s">
        <v>329</v>
      </c>
      <c r="C20" s="5" t="s">
        <v>365</v>
      </c>
      <c r="D20" s="5" t="s">
        <v>128</v>
      </c>
      <c r="E20" s="5"/>
    </row>
    <row r="21" customFormat="false" ht="15" hidden="false" customHeight="true" outlineLevel="0" collapsed="false">
      <c r="A21" s="5" t="s">
        <v>364</v>
      </c>
      <c r="B21" s="5" t="s">
        <v>366</v>
      </c>
      <c r="C21" s="5" t="s">
        <v>367</v>
      </c>
      <c r="D21" s="5" t="s">
        <v>128</v>
      </c>
      <c r="E21" s="5" t="s">
        <v>333</v>
      </c>
    </row>
    <row r="22" customFormat="false" ht="15" hidden="false" customHeight="true" outlineLevel="0" collapsed="false">
      <c r="A22" s="5" t="s">
        <v>364</v>
      </c>
      <c r="B22" s="5" t="s">
        <v>368</v>
      </c>
      <c r="C22" s="5" t="s">
        <v>369</v>
      </c>
      <c r="D22" s="5" t="s">
        <v>101</v>
      </c>
      <c r="E22" s="5" t="s">
        <v>333</v>
      </c>
    </row>
    <row r="23" customFormat="false" ht="15" hidden="false" customHeight="true" outlineLevel="0" collapsed="false">
      <c r="A23" s="5" t="s">
        <v>364</v>
      </c>
      <c r="B23" s="5" t="s">
        <v>370</v>
      </c>
      <c r="C23" s="5" t="s">
        <v>371</v>
      </c>
      <c r="D23" s="5" t="s">
        <v>101</v>
      </c>
      <c r="E23" s="5" t="s">
        <v>333</v>
      </c>
    </row>
    <row r="24" customFormat="false" ht="15" hidden="false" customHeight="true" outlineLevel="0" collapsed="false">
      <c r="A24" s="5" t="s">
        <v>364</v>
      </c>
      <c r="B24" s="5" t="s">
        <v>372</v>
      </c>
      <c r="C24" s="5" t="s">
        <v>373</v>
      </c>
      <c r="D24" s="5" t="s">
        <v>101</v>
      </c>
      <c r="E24" s="5" t="s">
        <v>333</v>
      </c>
    </row>
    <row r="25" customFormat="false" ht="15" hidden="false" customHeight="true" outlineLevel="0" collapsed="false">
      <c r="A25" s="5" t="s">
        <v>364</v>
      </c>
      <c r="B25" s="5" t="s">
        <v>374</v>
      </c>
      <c r="C25" s="5" t="s">
        <v>375</v>
      </c>
      <c r="D25" s="5" t="s">
        <v>101</v>
      </c>
      <c r="E25" s="5" t="s">
        <v>333</v>
      </c>
    </row>
    <row r="26" customFormat="false" ht="15" hidden="false" customHeight="true" outlineLevel="0" collapsed="false">
      <c r="A26" s="5" t="s">
        <v>364</v>
      </c>
      <c r="B26" s="5" t="s">
        <v>376</v>
      </c>
      <c r="C26" s="5" t="s">
        <v>377</v>
      </c>
      <c r="D26" s="5" t="s">
        <v>101</v>
      </c>
      <c r="E26" s="5" t="s">
        <v>333</v>
      </c>
    </row>
    <row r="27" customFormat="false" ht="15" hidden="false" customHeight="true" outlineLevel="0" collapsed="false">
      <c r="A27" s="5" t="s">
        <v>364</v>
      </c>
      <c r="B27" s="5" t="s">
        <v>378</v>
      </c>
      <c r="C27" s="5" t="s">
        <v>379</v>
      </c>
      <c r="D27" s="5" t="s">
        <v>128</v>
      </c>
      <c r="E27" s="5" t="s">
        <v>333</v>
      </c>
    </row>
    <row r="28" customFormat="false" ht="15" hidden="false" customHeight="true" outlineLevel="0" collapsed="false">
      <c r="A28" s="5" t="s">
        <v>364</v>
      </c>
      <c r="B28" s="5" t="s">
        <v>380</v>
      </c>
      <c r="C28" s="5" t="s">
        <v>381</v>
      </c>
      <c r="D28" s="5" t="s">
        <v>128</v>
      </c>
      <c r="E28" s="5" t="s">
        <v>333</v>
      </c>
    </row>
    <row r="29" customFormat="false" ht="15" hidden="false" customHeight="true" outlineLevel="0" collapsed="false">
      <c r="A29" s="5" t="s">
        <v>364</v>
      </c>
      <c r="B29" s="5" t="s">
        <v>382</v>
      </c>
      <c r="C29" s="5" t="s">
        <v>383</v>
      </c>
      <c r="D29" s="5" t="s">
        <v>101</v>
      </c>
      <c r="E29" s="5" t="s">
        <v>333</v>
      </c>
    </row>
    <row r="30" customFormat="false" ht="15" hidden="false" customHeight="true" outlineLevel="0" collapsed="false">
      <c r="A30" s="5" t="s">
        <v>364</v>
      </c>
      <c r="B30" s="5" t="s">
        <v>384</v>
      </c>
      <c r="C30" s="5" t="s">
        <v>385</v>
      </c>
      <c r="D30" s="5" t="s">
        <v>101</v>
      </c>
      <c r="E30" s="5" t="s">
        <v>333</v>
      </c>
    </row>
    <row r="31" customFormat="false" ht="15" hidden="false" customHeight="true" outlineLevel="0" collapsed="false">
      <c r="A31" s="5" t="s">
        <v>364</v>
      </c>
      <c r="B31" s="5" t="s">
        <v>386</v>
      </c>
      <c r="C31" s="5" t="s">
        <v>387</v>
      </c>
      <c r="D31" s="5" t="s">
        <v>101</v>
      </c>
      <c r="E31" s="5" t="s">
        <v>333</v>
      </c>
    </row>
    <row r="32" customFormat="false" ht="15" hidden="false" customHeight="true" outlineLevel="0" collapsed="false">
      <c r="A32" s="5" t="s">
        <v>364</v>
      </c>
      <c r="B32" s="5" t="s">
        <v>388</v>
      </c>
      <c r="C32" s="5" t="s">
        <v>389</v>
      </c>
      <c r="D32" s="5" t="s">
        <v>101</v>
      </c>
      <c r="E32" s="5" t="s">
        <v>333</v>
      </c>
    </row>
    <row r="33" customFormat="false" ht="15" hidden="false" customHeight="true" outlineLevel="0" collapsed="false">
      <c r="A33" s="5" t="s">
        <v>364</v>
      </c>
      <c r="B33" s="5" t="s">
        <v>390</v>
      </c>
      <c r="C33" s="5" t="s">
        <v>391</v>
      </c>
      <c r="D33" s="5" t="s">
        <v>101</v>
      </c>
      <c r="E33" s="5" t="s">
        <v>333</v>
      </c>
    </row>
    <row r="34" customFormat="false" ht="15" hidden="false" customHeight="true" outlineLevel="0" collapsed="false">
      <c r="A34" s="5" t="s">
        <v>364</v>
      </c>
      <c r="B34" s="5" t="s">
        <v>313</v>
      </c>
      <c r="C34" s="5" t="s">
        <v>392</v>
      </c>
      <c r="D34" s="5" t="s">
        <v>101</v>
      </c>
      <c r="E34" s="5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2026-10-23T00:46:11Z</dcterms:created>
  <dc:creator>openpyxl</dc:creator>
  <dc:description/>
  <dc:language>en-US</dc:language>
  <cp:lastModifiedBy/>
  <dcterms:modified xsi:type="dcterms:W3CDTF">2026-10-23T01:45:30Z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